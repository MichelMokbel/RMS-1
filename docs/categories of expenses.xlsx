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"/>
    </mc:Choice>
  </mc:AlternateContent>
  <xr:revisionPtr revIDLastSave="0" documentId="13_ncr:1_{913B666D-12FF-D243-8632-1F9A8C32D5F6}" xr6:coauthVersionLast="47" xr6:coauthVersionMax="47" xr10:uidLastSave="{00000000-0000-0000-0000-000000000000}"/>
  <bookViews>
    <workbookView xWindow="0" yWindow="740" windowWidth="25600" windowHeight="15680" tabRatio="601" activeTab="2" xr2:uid="{00000000-000D-0000-FFFF-FFFF00000000}"/>
  </bookViews>
  <sheets>
    <sheet name="Sheet1" sheetId="1" r:id="rId1"/>
    <sheet name="July 2026" sheetId="2" r:id="rId2"/>
    <sheet name="Aug 2026" sheetId="3" r:id="rId3"/>
    <sheet name="Aug Cost Analysis" sheetId="5" r:id="rId4"/>
  </sheets>
  <externalReferences>
    <externalReference r:id="rId5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R57" i="3"/>
  <c r="C25" i="5" l="1"/>
  <c r="C26" i="5"/>
  <c r="E178" i="3"/>
  <c r="C17" i="5" s="1"/>
  <c r="AH64" i="3"/>
  <c r="AH65" i="3"/>
  <c r="AH66" i="3"/>
  <c r="AH68" i="3"/>
  <c r="AH69" i="3"/>
  <c r="AH70" i="3"/>
  <c r="AH71" i="3"/>
  <c r="AH72" i="3"/>
  <c r="AH74" i="3"/>
  <c r="AH77" i="3"/>
  <c r="AH78" i="3"/>
  <c r="E175" i="3" s="1"/>
  <c r="C14" i="5" s="1"/>
  <c r="AH79" i="3"/>
  <c r="AH80" i="3"/>
  <c r="AH81" i="3"/>
  <c r="AH82" i="3"/>
  <c r="AH83" i="3"/>
  <c r="AH84" i="3"/>
  <c r="AH85" i="3"/>
  <c r="AH87" i="3"/>
  <c r="AH88" i="3"/>
  <c r="AH89" i="3"/>
  <c r="AH90" i="3"/>
  <c r="AH91" i="3"/>
  <c r="AH92" i="3"/>
  <c r="AH93" i="3"/>
  <c r="AH95" i="3"/>
  <c r="AH96" i="3"/>
  <c r="AH97" i="3"/>
  <c r="AH99" i="3"/>
  <c r="AH100" i="3"/>
  <c r="AH101" i="3"/>
  <c r="AH103" i="3"/>
  <c r="AH104" i="3"/>
  <c r="AH105" i="3"/>
  <c r="AH107" i="3"/>
  <c r="AH108" i="3"/>
  <c r="AH109" i="3"/>
  <c r="AH110" i="3"/>
  <c r="AH112" i="3"/>
  <c r="AH113" i="3"/>
  <c r="AH114" i="3"/>
  <c r="AH115" i="3"/>
  <c r="AH117" i="3"/>
  <c r="AH118" i="3"/>
  <c r="AH119" i="3"/>
  <c r="AH120" i="3"/>
  <c r="AH123" i="3"/>
  <c r="AH124" i="3"/>
  <c r="AH125" i="3"/>
  <c r="AH126" i="3"/>
  <c r="AH127" i="3"/>
  <c r="AH128" i="3"/>
  <c r="AH130" i="3"/>
  <c r="AH131" i="3"/>
  <c r="AH132" i="3"/>
  <c r="AH133" i="3"/>
  <c r="AH134" i="3"/>
  <c r="AH135" i="3"/>
  <c r="AH136" i="3"/>
  <c r="AH137" i="3"/>
  <c r="AH139" i="3"/>
  <c r="AH140" i="3"/>
  <c r="AH141" i="3"/>
  <c r="AH142" i="3"/>
  <c r="AH143" i="3"/>
  <c r="AH145" i="3"/>
  <c r="AH146" i="3"/>
  <c r="AH147" i="3"/>
  <c r="AH148" i="3"/>
  <c r="AH149" i="3"/>
  <c r="AH150" i="3"/>
  <c r="AH151" i="3"/>
  <c r="AH152" i="3"/>
  <c r="AH153" i="3"/>
  <c r="Q57" i="3"/>
  <c r="Q3" i="3"/>
  <c r="Q17" i="3" l="1"/>
  <c r="O102" i="3"/>
  <c r="AH102" i="3" s="1"/>
  <c r="O33" i="3"/>
  <c r="O3" i="3"/>
  <c r="N75" i="3"/>
  <c r="AH75" i="3" s="1"/>
  <c r="N43" i="3"/>
  <c r="N57" i="3"/>
  <c r="N3" i="3"/>
  <c r="M3" i="3"/>
  <c r="AG138" i="3" l="1"/>
  <c r="AG154" i="3" s="1"/>
  <c r="AF138" i="3"/>
  <c r="AF154" i="3" s="1"/>
  <c r="AE138" i="3"/>
  <c r="AE154" i="3" s="1"/>
  <c r="AD138" i="3"/>
  <c r="AC138" i="3"/>
  <c r="AB138" i="3"/>
  <c r="AB154" i="3" s="1"/>
  <c r="AA138" i="3"/>
  <c r="Z138" i="3"/>
  <c r="Y138" i="3"/>
  <c r="Y154" i="3" s="1"/>
  <c r="X138" i="3"/>
  <c r="X154" i="3" s="1"/>
  <c r="W138" i="3"/>
  <c r="W154" i="3" s="1"/>
  <c r="V138" i="3"/>
  <c r="U138" i="3"/>
  <c r="T138" i="3"/>
  <c r="T154" i="3" s="1"/>
  <c r="S138" i="3"/>
  <c r="R138" i="3"/>
  <c r="Q138" i="3"/>
  <c r="P138" i="3"/>
  <c r="P154" i="3" s="1"/>
  <c r="O138" i="3"/>
  <c r="N138" i="3"/>
  <c r="M138" i="3"/>
  <c r="L138" i="3"/>
  <c r="K138" i="3"/>
  <c r="J138" i="3"/>
  <c r="I138" i="3"/>
  <c r="H138" i="3"/>
  <c r="G138" i="3"/>
  <c r="F138" i="3"/>
  <c r="E138" i="3"/>
  <c r="D138" i="3"/>
  <c r="C144" i="3"/>
  <c r="AH144" i="3" s="1"/>
  <c r="E185" i="3" s="1"/>
  <c r="C24" i="5" s="1"/>
  <c r="C138" i="3"/>
  <c r="C129" i="3"/>
  <c r="C16" i="3"/>
  <c r="AG129" i="3"/>
  <c r="AF129" i="3"/>
  <c r="AE129" i="3"/>
  <c r="AD129" i="3"/>
  <c r="AC129" i="3"/>
  <c r="AB129" i="3"/>
  <c r="AA129" i="3"/>
  <c r="AA154" i="3" s="1"/>
  <c r="Z129" i="3"/>
  <c r="Z154" i="3" s="1"/>
  <c r="Y129" i="3"/>
  <c r="X129" i="3"/>
  <c r="W129" i="3"/>
  <c r="V129" i="3"/>
  <c r="U129" i="3"/>
  <c r="T129" i="3"/>
  <c r="S129" i="3"/>
  <c r="S154" i="3" s="1"/>
  <c r="R129" i="3"/>
  <c r="Q129" i="3"/>
  <c r="P129" i="3"/>
  <c r="O129" i="3"/>
  <c r="N129" i="3"/>
  <c r="M129" i="3"/>
  <c r="L129" i="3"/>
  <c r="K129" i="3"/>
  <c r="J129" i="3"/>
  <c r="I129" i="3"/>
  <c r="I154" i="3" s="1"/>
  <c r="H129" i="3"/>
  <c r="G129" i="3"/>
  <c r="F129" i="3"/>
  <c r="E129" i="3"/>
  <c r="D129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AG116" i="3"/>
  <c r="AF116" i="3"/>
  <c r="AE116" i="3"/>
  <c r="AD116" i="3"/>
  <c r="AD154" i="3" s="1"/>
  <c r="AC116" i="3"/>
  <c r="AB116" i="3"/>
  <c r="AA116" i="3"/>
  <c r="Z116" i="3"/>
  <c r="Y116" i="3"/>
  <c r="X116" i="3"/>
  <c r="W116" i="3"/>
  <c r="V116" i="3"/>
  <c r="V154" i="3" s="1"/>
  <c r="U116" i="3"/>
  <c r="T116" i="3"/>
  <c r="S116" i="3"/>
  <c r="R116" i="3"/>
  <c r="Q116" i="3"/>
  <c r="P116" i="3"/>
  <c r="O116" i="3"/>
  <c r="N116" i="3"/>
  <c r="M116" i="3"/>
  <c r="L116" i="3"/>
  <c r="J116" i="3"/>
  <c r="I116" i="3"/>
  <c r="H116" i="3"/>
  <c r="G116" i="3"/>
  <c r="F116" i="3"/>
  <c r="D116" i="3"/>
  <c r="C116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11" i="3"/>
  <c r="C106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F73" i="3"/>
  <c r="E73" i="3"/>
  <c r="D73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H67" i="3" s="1"/>
  <c r="E173" i="3" s="1"/>
  <c r="C12" i="5" s="1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J54" i="3"/>
  <c r="I54" i="3"/>
  <c r="H54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J16" i="3"/>
  <c r="I16" i="3"/>
  <c r="H16" i="3"/>
  <c r="G16" i="3"/>
  <c r="E16" i="3"/>
  <c r="D16" i="3"/>
  <c r="I2" i="3"/>
  <c r="N2" i="3"/>
  <c r="O2" i="3"/>
  <c r="P2" i="3"/>
  <c r="Q2" i="3"/>
  <c r="R2" i="3"/>
  <c r="S2" i="3"/>
  <c r="T2" i="3"/>
  <c r="U2" i="3"/>
  <c r="U154" i="3" s="1"/>
  <c r="V2" i="3"/>
  <c r="W2" i="3"/>
  <c r="X2" i="3"/>
  <c r="Y2" i="3"/>
  <c r="Z2" i="3"/>
  <c r="AA2" i="3"/>
  <c r="AB2" i="3"/>
  <c r="AC2" i="3"/>
  <c r="AC154" i="3" s="1"/>
  <c r="AD2" i="3"/>
  <c r="AE2" i="3"/>
  <c r="AF2" i="3"/>
  <c r="AG2" i="3"/>
  <c r="AH63" i="3" l="1"/>
  <c r="E172" i="3" s="1"/>
  <c r="C11" i="5" s="1"/>
  <c r="AH106" i="3"/>
  <c r="E179" i="3" s="1"/>
  <c r="C18" i="5" s="1"/>
  <c r="AH98" i="3"/>
  <c r="AH111" i="3"/>
  <c r="E180" i="3" s="1"/>
  <c r="C19" i="5" s="1"/>
  <c r="AH129" i="3"/>
  <c r="E183" i="3" s="1"/>
  <c r="C22" i="5" s="1"/>
  <c r="AH41" i="3"/>
  <c r="E170" i="3" s="1"/>
  <c r="C9" i="5" s="1"/>
  <c r="AH94" i="3"/>
  <c r="E177" i="3" s="1"/>
  <c r="C16" i="5" s="1"/>
  <c r="AH138" i="3"/>
  <c r="E184" i="3" s="1"/>
  <c r="C23" i="5" s="1"/>
  <c r="AH31" i="3"/>
  <c r="E169" i="3" s="1"/>
  <c r="C8" i="5" s="1"/>
  <c r="AH86" i="3"/>
  <c r="E176" i="3" s="1"/>
  <c r="C15" i="5" s="1"/>
  <c r="AH122" i="3"/>
  <c r="E182" i="3" s="1"/>
  <c r="C21" i="5" s="1"/>
  <c r="R154" i="3"/>
  <c r="Q154" i="3"/>
  <c r="O154" i="3"/>
  <c r="N154" i="3"/>
  <c r="M57" i="3"/>
  <c r="M54" i="3" s="1"/>
  <c r="L3" i="3"/>
  <c r="L57" i="3"/>
  <c r="L54" i="3" s="1"/>
  <c r="L17" i="3"/>
  <c r="L16" i="3" s="1"/>
  <c r="K121" i="3"/>
  <c r="K116" i="3" s="1"/>
  <c r="K3" i="3"/>
  <c r="K17" i="3"/>
  <c r="K16" i="3" s="1"/>
  <c r="K57" i="3"/>
  <c r="K54" i="3" s="1"/>
  <c r="L2" i="3" l="1"/>
  <c r="L154" i="3" s="1"/>
  <c r="M2" i="3"/>
  <c r="M154" i="3" s="1"/>
  <c r="K2" i="3"/>
  <c r="K154" i="3" s="1"/>
  <c r="J3" i="3"/>
  <c r="J2" i="3" l="1"/>
  <c r="J154" i="3" s="1"/>
  <c r="H3" i="3"/>
  <c r="H2" i="3" l="1"/>
  <c r="H154" i="3" s="1"/>
  <c r="F17" i="3"/>
  <c r="F16" i="3" s="1"/>
  <c r="AH16" i="3" s="1"/>
  <c r="E168" i="3" s="1"/>
  <c r="C7" i="5" s="1"/>
  <c r="G57" i="3"/>
  <c r="G54" i="3" s="1"/>
  <c r="G3" i="3"/>
  <c r="D3" i="3"/>
  <c r="F57" i="3"/>
  <c r="F54" i="3" s="1"/>
  <c r="G76" i="3"/>
  <c r="G73" i="3" s="1"/>
  <c r="G2" i="3" l="1"/>
  <c r="G154" i="3" s="1"/>
  <c r="F3" i="3"/>
  <c r="F2" i="3" l="1"/>
  <c r="F154" i="3" s="1"/>
  <c r="E57" i="3"/>
  <c r="E54" i="3" s="1"/>
  <c r="E121" i="3"/>
  <c r="E3" i="3"/>
  <c r="D4" i="3"/>
  <c r="E116" i="3" l="1"/>
  <c r="AH121" i="3"/>
  <c r="D2" i="3"/>
  <c r="E2" i="3"/>
  <c r="D57" i="3"/>
  <c r="D54" i="3" s="1"/>
  <c r="D154" i="3" s="1"/>
  <c r="C3" i="3"/>
  <c r="C2" i="3" s="1"/>
  <c r="AH2" i="3" s="1"/>
  <c r="E167" i="3" s="1"/>
  <c r="C6" i="5" s="1"/>
  <c r="E154" i="3" l="1"/>
  <c r="AH116" i="3"/>
  <c r="E181" i="3" s="1"/>
  <c r="C20" i="5" s="1"/>
  <c r="C57" i="3"/>
  <c r="C54" i="3" s="1"/>
  <c r="AH54" i="3" s="1"/>
  <c r="E171" i="3" s="1"/>
  <c r="C10" i="5" s="1"/>
  <c r="C76" i="3" l="1"/>
  <c r="AH76" i="3" s="1"/>
  <c r="AH62" i="3"/>
  <c r="AH61" i="3"/>
  <c r="AH60" i="3"/>
  <c r="AH59" i="3"/>
  <c r="AH58" i="3"/>
  <c r="AH57" i="3"/>
  <c r="AH56" i="3"/>
  <c r="AH55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0" i="3"/>
  <c r="AH39" i="3"/>
  <c r="AH38" i="3"/>
  <c r="AH37" i="3"/>
  <c r="AH36" i="3"/>
  <c r="AH35" i="3"/>
  <c r="AH34" i="3"/>
  <c r="AH33" i="3"/>
  <c r="AH32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C73" i="3" l="1"/>
  <c r="AF3" i="2"/>
  <c r="AF53" i="2"/>
  <c r="AC69" i="2"/>
  <c r="AE3" i="2"/>
  <c r="AH73" i="3" l="1"/>
  <c r="E174" i="3" s="1"/>
  <c r="C13" i="5" s="1"/>
  <c r="C154" i="3"/>
  <c r="B1" i="3" s="1"/>
  <c r="AH136" i="2"/>
  <c r="AH135" i="2"/>
  <c r="AH134" i="2"/>
  <c r="AH133" i="2"/>
  <c r="AH132" i="2"/>
  <c r="AH131" i="2"/>
  <c r="AH130" i="2"/>
  <c r="AH129" i="2"/>
  <c r="AH128" i="2"/>
  <c r="AH127" i="2"/>
  <c r="AH126" i="2"/>
  <c r="AH125" i="2"/>
  <c r="AH123" i="2"/>
  <c r="AH122" i="2"/>
  <c r="AH121" i="2"/>
  <c r="AH120" i="2"/>
  <c r="AH119" i="2"/>
  <c r="AH118" i="2"/>
  <c r="AH117" i="2"/>
  <c r="AH116" i="2"/>
  <c r="AH115" i="2"/>
  <c r="AH114" i="2"/>
  <c r="AH113" i="2"/>
  <c r="AH112" i="2"/>
  <c r="AH111" i="2"/>
  <c r="AH110" i="2"/>
  <c r="AH109" i="2"/>
  <c r="AH108" i="2"/>
  <c r="AH107" i="2"/>
  <c r="AH106" i="2"/>
  <c r="AH105" i="2"/>
  <c r="AH104" i="2"/>
  <c r="AH103" i="2"/>
  <c r="AH102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8" i="2"/>
  <c r="AH77" i="2"/>
  <c r="AH76" i="2"/>
  <c r="AH75" i="2"/>
  <c r="AH74" i="2"/>
  <c r="AH73" i="2"/>
  <c r="AH72" i="2"/>
  <c r="AH71" i="2"/>
  <c r="AH69" i="2"/>
  <c r="AH68" i="2"/>
  <c r="AH67" i="2"/>
  <c r="AH66" i="2"/>
  <c r="AH65" i="2"/>
  <c r="AH64" i="2"/>
  <c r="AH63" i="2"/>
  <c r="AH62" i="2"/>
  <c r="AH61" i="2"/>
  <c r="AH59" i="2"/>
  <c r="AH58" i="2"/>
  <c r="AH57" i="2"/>
  <c r="AH56" i="2"/>
  <c r="AH55" i="2"/>
  <c r="AH54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5" i="2"/>
  <c r="AH14" i="2"/>
  <c r="AH13" i="2"/>
  <c r="AH12" i="2"/>
  <c r="AH11" i="2"/>
  <c r="AH10" i="2"/>
  <c r="AH9" i="2"/>
  <c r="AH8" i="2"/>
  <c r="AH7" i="2"/>
  <c r="AH6" i="2"/>
  <c r="AH5" i="2"/>
  <c r="AH4" i="2"/>
  <c r="AE53" i="2"/>
  <c r="D13" i="5" l="1"/>
  <c r="D6" i="5"/>
  <c r="D23" i="5"/>
  <c r="D24" i="5"/>
  <c r="D7" i="5"/>
  <c r="D15" i="5"/>
  <c r="D26" i="5"/>
  <c r="D10" i="5"/>
  <c r="D18" i="5"/>
  <c r="D12" i="5"/>
  <c r="D11" i="5"/>
  <c r="C27" i="5"/>
  <c r="D22" i="5"/>
  <c r="D20" i="5"/>
  <c r="D17" i="5"/>
  <c r="D21" i="5"/>
  <c r="D25" i="5"/>
  <c r="D19" i="5"/>
  <c r="D16" i="5"/>
  <c r="D14" i="5"/>
  <c r="D9" i="5"/>
  <c r="D8" i="5"/>
  <c r="AH154" i="3"/>
  <c r="AD53" i="2"/>
  <c r="AD3" i="2"/>
  <c r="AC101" i="2"/>
  <c r="AC53" i="2"/>
  <c r="AB3" i="2"/>
  <c r="E23" i="5" l="1"/>
  <c r="E21" i="5"/>
  <c r="E15" i="5"/>
  <c r="E17" i="5"/>
  <c r="E12" i="5"/>
  <c r="E25" i="5"/>
  <c r="E10" i="5"/>
  <c r="E14" i="5"/>
  <c r="E22" i="5"/>
  <c r="E24" i="5"/>
  <c r="E18" i="5"/>
  <c r="E11" i="5"/>
  <c r="E13" i="5"/>
  <c r="E6" i="5"/>
  <c r="E26" i="5"/>
  <c r="E20" i="5"/>
  <c r="E8" i="5"/>
  <c r="E16" i="5"/>
  <c r="E9" i="5"/>
  <c r="D27" i="5"/>
  <c r="E7" i="5"/>
  <c r="E19" i="5"/>
  <c r="AB53" i="2"/>
  <c r="AA40" i="2"/>
  <c r="AH40" i="2" s="1"/>
  <c r="AA3" i="2"/>
  <c r="AA53" i="2"/>
  <c r="Z53" i="2"/>
  <c r="Y53" i="2"/>
  <c r="Y124" i="2"/>
  <c r="AH124" i="2" s="1"/>
  <c r="Y3" i="2"/>
  <c r="Y137" i="2" s="1"/>
  <c r="X53" i="2"/>
  <c r="X137" i="2" s="1"/>
  <c r="W16" i="2"/>
  <c r="W137" i="2" s="1"/>
  <c r="X3" i="2"/>
  <c r="W3" i="2"/>
  <c r="Q3" i="2"/>
  <c r="P53" i="2"/>
  <c r="W101" i="2"/>
  <c r="AH101" i="2" s="1"/>
  <c r="V70" i="2"/>
  <c r="AH70" i="2" s="1"/>
  <c r="V53" i="2"/>
  <c r="V60" i="2"/>
  <c r="AH60" i="2" s="1"/>
  <c r="V3" i="2"/>
  <c r="W53" i="2"/>
  <c r="T53" i="2"/>
  <c r="U3" i="2"/>
  <c r="U137" i="2" s="1"/>
  <c r="T3" i="2"/>
  <c r="C53" i="2"/>
  <c r="AH53" i="2" s="1"/>
  <c r="D53" i="2"/>
  <c r="F53" i="2"/>
  <c r="F137" i="2" s="1"/>
  <c r="G53" i="2"/>
  <c r="H53" i="2"/>
  <c r="I53" i="2"/>
  <c r="J53" i="2"/>
  <c r="K53" i="2"/>
  <c r="L53" i="2"/>
  <c r="N53" i="2"/>
  <c r="O53" i="2"/>
  <c r="Q53" i="2"/>
  <c r="R3" i="2"/>
  <c r="Q16" i="2"/>
  <c r="Q137" i="2" s="1"/>
  <c r="P3" i="2"/>
  <c r="P137" i="2" s="1"/>
  <c r="O3" i="2"/>
  <c r="O137" i="2" s="1"/>
  <c r="N3" i="2"/>
  <c r="M3" i="2"/>
  <c r="M137" i="2" s="1"/>
  <c r="F3" i="2"/>
  <c r="L16" i="2"/>
  <c r="K16" i="2"/>
  <c r="K3" i="2"/>
  <c r="I3" i="2"/>
  <c r="I137" i="2" s="1"/>
  <c r="J3" i="2"/>
  <c r="J137" i="2" s="1"/>
  <c r="H3" i="2"/>
  <c r="H137" i="2" s="1"/>
  <c r="G3" i="2"/>
  <c r="G137" i="2" s="1"/>
  <c r="E3" i="2"/>
  <c r="D79" i="2"/>
  <c r="AH79" i="2" s="1"/>
  <c r="D16" i="2"/>
  <c r="AH16" i="2" s="1"/>
  <c r="D3" i="2"/>
  <c r="D137" i="2" s="1"/>
  <c r="C3" i="2"/>
  <c r="AH3" i="2" s="1"/>
  <c r="E137" i="2"/>
  <c r="K137" i="2"/>
  <c r="L137" i="2"/>
  <c r="N137" i="2"/>
  <c r="R137" i="2"/>
  <c r="S137" i="2"/>
  <c r="T137" i="2"/>
  <c r="Z137" i="2"/>
  <c r="AA137" i="2"/>
  <c r="AB137" i="2"/>
  <c r="AC137" i="2"/>
  <c r="AD137" i="2"/>
  <c r="AE137" i="2"/>
  <c r="AF137" i="2"/>
  <c r="AG137" i="2"/>
  <c r="V137" i="2" l="1"/>
  <c r="C137" i="2"/>
  <c r="B1" i="2"/>
  <c r="AH137" i="2"/>
</calcChain>
</file>

<file path=xl/sharedStrings.xml><?xml version="1.0" encoding="utf-8"?>
<sst xmlns="http://schemas.openxmlformats.org/spreadsheetml/2006/main" count="537" uniqueCount="182">
  <si>
    <t>Raw material</t>
  </si>
  <si>
    <t>Food ingredients</t>
  </si>
  <si>
    <t>Meat</t>
  </si>
  <si>
    <t>Chicken</t>
  </si>
  <si>
    <t>Fish &amp; seafood</t>
  </si>
  <si>
    <t>Vegetables &amp; fruits</t>
  </si>
  <si>
    <t>Rice, flour, pasta</t>
  </si>
  <si>
    <t>Dairy products</t>
  </si>
  <si>
    <t>Spices &amp; seasonings</t>
  </si>
  <si>
    <t>Beverages</t>
  </si>
  <si>
    <t>Soft drinks</t>
  </si>
  <si>
    <t>Juices</t>
  </si>
  <si>
    <t>Coffee &amp; tea</t>
  </si>
  <si>
    <t>Water</t>
  </si>
  <si>
    <t>1-A</t>
  </si>
  <si>
    <t>1-B</t>
  </si>
  <si>
    <t>packaging</t>
  </si>
  <si>
    <t>Takeaway boxes</t>
  </si>
  <si>
    <t>Cups</t>
  </si>
  <si>
    <t>Lids</t>
  </si>
  <si>
    <t>Bags</t>
  </si>
  <si>
    <t>Disposable cutlery</t>
  </si>
  <si>
    <t>Napkins</t>
  </si>
  <si>
    <t>Floor cleaner</t>
  </si>
  <si>
    <t>Dishwashing liquid</t>
  </si>
  <si>
    <t>Kitchen degreaser</t>
  </si>
  <si>
    <t>Bathroom cleaner</t>
  </si>
  <si>
    <t>Mops, brooms, brushes</t>
  </si>
  <si>
    <t>Trash bags</t>
  </si>
  <si>
    <t>Hand soap</t>
  </si>
  <si>
    <t>2-B</t>
  </si>
  <si>
    <t>2-A</t>
  </si>
  <si>
    <t>maintenance</t>
  </si>
  <si>
    <t>Kitchen Equipment Maintenance</t>
  </si>
  <si>
    <t>Building Maintenance</t>
  </si>
  <si>
    <t>Electrical Repairs</t>
  </si>
  <si>
    <t>Plumbing Repairs</t>
  </si>
  <si>
    <t>Furniture Repairs</t>
  </si>
  <si>
    <t>car expenses</t>
  </si>
  <si>
    <t>Oil changes</t>
  </si>
  <si>
    <t>Tire replacement and repairs</t>
  </si>
  <si>
    <t>Brake repairs</t>
  </si>
  <si>
    <t>Battery replacement</t>
  </si>
  <si>
    <t>Engine repairs</t>
  </si>
  <si>
    <t>Regular servicing</t>
  </si>
  <si>
    <t>Car wash (if expensed)</t>
  </si>
  <si>
    <t>Vehicle spare parts</t>
  </si>
  <si>
    <t>3-A</t>
  </si>
  <si>
    <t>4-A</t>
  </si>
  <si>
    <t>Car maintenance</t>
  </si>
  <si>
    <t>Vehicle Insurance</t>
  </si>
  <si>
    <t>Vehicle Registration</t>
  </si>
  <si>
    <t>4-B</t>
  </si>
  <si>
    <t>4-C</t>
  </si>
  <si>
    <t>Car Rental and transportation</t>
  </si>
  <si>
    <t>5-A</t>
  </si>
  <si>
    <t>car rent</t>
  </si>
  <si>
    <t>5-B</t>
  </si>
  <si>
    <t>Fuel Expense</t>
  </si>
  <si>
    <t>5-C</t>
  </si>
  <si>
    <t>Transportation</t>
  </si>
  <si>
    <t>Parking Fees</t>
  </si>
  <si>
    <t>Delivery Vehicle Expenses</t>
  </si>
  <si>
    <t>Uber</t>
  </si>
  <si>
    <t>Freight and Local Transport</t>
  </si>
  <si>
    <t>Direct expenses</t>
  </si>
  <si>
    <t>Cooking gas</t>
  </si>
  <si>
    <t>Charcoal for grills/BBQ</t>
  </si>
  <si>
    <t>Rent</t>
  </si>
  <si>
    <t>Restaurant rent</t>
  </si>
  <si>
    <t>Kitchen rent</t>
  </si>
  <si>
    <t>Storage/warehouse rent</t>
  </si>
  <si>
    <t>Office rent</t>
  </si>
  <si>
    <t>Salaries</t>
  </si>
  <si>
    <t>Management salaries</t>
  </si>
  <si>
    <t>Admin staff salaries</t>
  </si>
  <si>
    <t>Accounting/office salaries</t>
  </si>
  <si>
    <t>Bonus and allowance</t>
  </si>
  <si>
    <t>Overtime</t>
  </si>
  <si>
    <t>Allowances</t>
  </si>
  <si>
    <t>Housing Allowance</t>
  </si>
  <si>
    <t>Transportation Allowance</t>
  </si>
  <si>
    <t>Meal Allowance</t>
  </si>
  <si>
    <t>Other Staff Allowances</t>
  </si>
  <si>
    <t>9-A</t>
  </si>
  <si>
    <t>9- B</t>
  </si>
  <si>
    <t>Bonus</t>
  </si>
  <si>
    <t>9-C</t>
  </si>
  <si>
    <t>Marketing</t>
  </si>
  <si>
    <t>Marketing &amp; Advertising Expenses</t>
  </si>
  <si>
    <t>Online Advertising</t>
  </si>
  <si>
    <t>Social Media Marketing</t>
  </si>
  <si>
    <t>Promotions</t>
  </si>
  <si>
    <t>Printing &amp; Design</t>
  </si>
  <si>
    <t>Campaign Expenses</t>
  </si>
  <si>
    <t>10-A</t>
  </si>
  <si>
    <t>8-A</t>
  </si>
  <si>
    <t>8-B</t>
  </si>
  <si>
    <t>8-C</t>
  </si>
  <si>
    <t>6-A</t>
  </si>
  <si>
    <t>6-B</t>
  </si>
  <si>
    <t>Kahrama</t>
  </si>
  <si>
    <t xml:space="preserve">Bank charge </t>
  </si>
  <si>
    <t>Electricity Expense</t>
  </si>
  <si>
    <t>Water Expense</t>
  </si>
  <si>
    <t>11-A</t>
  </si>
  <si>
    <t>11-B</t>
  </si>
  <si>
    <t>Bank account fees</t>
  </si>
  <si>
    <t>POS machine fees</t>
  </si>
  <si>
    <t>Transfer fees</t>
  </si>
  <si>
    <t>Cheque fees</t>
  </si>
  <si>
    <t>Other bank service charges</t>
  </si>
  <si>
    <t>interest loan</t>
  </si>
  <si>
    <t>stationery</t>
  </si>
  <si>
    <t>Stationery Expense</t>
  </si>
  <si>
    <t>Printing Expense</t>
  </si>
  <si>
    <t>Office Supplies</t>
  </si>
  <si>
    <t>13-A</t>
  </si>
  <si>
    <t>13-B</t>
  </si>
  <si>
    <t>13-C</t>
  </si>
  <si>
    <t xml:space="preserve">Utilities </t>
  </si>
  <si>
    <t>Mobile phone bills</t>
  </si>
  <si>
    <t>Landline bills</t>
  </si>
  <si>
    <t>Internet bills</t>
  </si>
  <si>
    <t>14-A</t>
  </si>
  <si>
    <t>14-B</t>
  </si>
  <si>
    <t>14-C</t>
  </si>
  <si>
    <t>Government fees</t>
  </si>
  <si>
    <t>License Fees</t>
  </si>
  <si>
    <t>Permit Fees</t>
  </si>
  <si>
    <t>Municipality Fees</t>
  </si>
  <si>
    <t>Other Government Charges</t>
  </si>
  <si>
    <t>Travel &amp; Transportation</t>
  </si>
  <si>
    <t>Air Ticket Expense</t>
  </si>
  <si>
    <t>Business Travel Expense</t>
  </si>
  <si>
    <t>Local Transport Expense</t>
  </si>
  <si>
    <t>Hotel Expense</t>
  </si>
  <si>
    <t>Ticket and Traveling</t>
  </si>
  <si>
    <t>Professional Fees</t>
  </si>
  <si>
    <t>Financial Consulting Fees</t>
  </si>
  <si>
    <t>Legal Consulting Fees</t>
  </si>
  <si>
    <t>Accounting Fees</t>
  </si>
  <si>
    <t>Audit Fees</t>
  </si>
  <si>
    <t>Tax Consultancy Fees</t>
  </si>
  <si>
    <t>Lawyer Fees</t>
  </si>
  <si>
    <t>Business Advisory Fees</t>
  </si>
  <si>
    <t>office expenses</t>
  </si>
  <si>
    <t>Office Furniture (small purchases)</t>
  </si>
  <si>
    <t>Office Maintenance</t>
  </si>
  <si>
    <t>Office Cleaning</t>
  </si>
  <si>
    <t>Software &amp; Subscriptions</t>
  </si>
  <si>
    <t>Other Expenses ( indirect )</t>
  </si>
  <si>
    <t>Small business expenses not classified elsewhere</t>
  </si>
  <si>
    <t>Other unusual expenses</t>
  </si>
  <si>
    <t>Losses on disposal of assets</t>
  </si>
  <si>
    <t>Donations</t>
  </si>
  <si>
    <t>Gifts &amp; Appreciation</t>
  </si>
  <si>
    <t>Emergency Expenses</t>
  </si>
  <si>
    <t>Customer Compensation</t>
  </si>
  <si>
    <t>Staff Events &amp; Activities</t>
  </si>
  <si>
    <t>(A/C) Maintenance</t>
  </si>
  <si>
    <t>pest control</t>
  </si>
  <si>
    <t>fire alarm</t>
  </si>
  <si>
    <t>TOTAL</t>
  </si>
  <si>
    <t>COST ANALYSIS - PARETO</t>
  </si>
  <si>
    <t>Pareto Chart for Cumulative Percent of Annual Costs across all Cost Centers is in cells B2 through E3.</t>
  </si>
  <si>
    <t>COST ANALYSIS</t>
  </si>
  <si>
    <t>Cost Center</t>
  </si>
  <si>
    <t>Percent of Total</t>
  </si>
  <si>
    <t>Cumulative Percent</t>
  </si>
  <si>
    <t>Maintenance</t>
  </si>
  <si>
    <t>Total</t>
  </si>
  <si>
    <t>Raw Material</t>
  </si>
  <si>
    <t>Packaging</t>
  </si>
  <si>
    <t>Car Expenses</t>
  </si>
  <si>
    <t>Bonus and Allowance</t>
  </si>
  <si>
    <t>Kahramaa</t>
  </si>
  <si>
    <t>Bank Charges</t>
  </si>
  <si>
    <t>Stationery</t>
  </si>
  <si>
    <t>Utilities</t>
  </si>
  <si>
    <t>Government Fees</t>
  </si>
  <si>
    <t xml:space="preserve">Monthly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</si>
</sst>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QAR]\ #,##0.00"/>
    <numFmt numFmtId="166" formatCode=";;;"/>
    <numFmt numFmtId="167" formatCode="_([$QAR]\ * #,##0.00_);_([$QAR]\ * \(#,##0.00\);_([$QAR]\ * &quot;-&quot;??_);_(@_)"/>
    <numFmt numFmtId="168" formatCode="[$QAR]\ #,##0.00_);[Red]\([$QAR]\ 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6" applyNumberFormat="0" applyFill="0" applyAlignment="0" applyProtection="0"/>
    <xf numFmtId="0" fontId="6" fillId="0" borderId="0" applyNumberFormat="0" applyFill="0" applyBorder="0" applyAlignment="0">
      <alignment horizontal="center" wrapText="1"/>
    </xf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0" borderId="0" xfId="0" applyFont="1"/>
    <xf numFmtId="0" fontId="1" fillId="2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165" fontId="2" fillId="0" borderId="0" xfId="0" applyNumberFormat="1" applyFont="1" applyAlignment="1">
      <alignment horizont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0" borderId="0" xfId="0" applyAlignment="1">
      <alignment wrapText="1"/>
    </xf>
    <xf numFmtId="0" fontId="4" fillId="0" borderId="0" xfId="3" applyAlignment="1">
      <alignment horizontal="left" vertical="center"/>
    </xf>
    <xf numFmtId="166" fontId="3" fillId="0" borderId="7" xfId="5" applyNumberFormat="1" applyFont="1" applyBorder="1" applyAlignment="1">
      <alignment wrapText="1"/>
    </xf>
    <xf numFmtId="166" fontId="3" fillId="0" borderId="0" xfId="5" applyNumberFormat="1" applyFont="1" applyAlignment="1">
      <alignment wrapText="1"/>
    </xf>
    <xf numFmtId="0" fontId="5" fillId="0" borderId="6" xfId="4" applyAlignment="1">
      <alignment horizontal="left"/>
    </xf>
    <xf numFmtId="9" fontId="0" fillId="0" borderId="0" xfId="2" applyFont="1" applyAlignment="1">
      <alignment horizontal="right"/>
    </xf>
    <xf numFmtId="10" fontId="0" fillId="0" borderId="0" xfId="0" applyNumberFormat="1" applyAlignment="1">
      <alignment wrapText="1"/>
    </xf>
    <xf numFmtId="167" fontId="0" fillId="0" borderId="0" xfId="1" applyNumberFormat="1" applyFont="1" applyAlignment="1">
      <alignment horizontal="right"/>
    </xf>
    <xf numFmtId="168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7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6">
    <cellStyle name="Currency" xfId="1" builtinId="4"/>
    <cellStyle name="Heading 1" xfId="4" builtinId="16"/>
    <cellStyle name="Normal" xfId="0" builtinId="0"/>
    <cellStyle name="Percent" xfId="2" builtinId="5"/>
    <cellStyle name="Title" xfId="3" builtinId="15"/>
    <cellStyle name="zHiddenText" xfId="5" xr:uid="{00000000-0005-0000-0000-000005000000}"/>
  </cellStyles>
  <dxfs count="5"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68" formatCode="[$QAR]\ #,##0.00_);[Red]\([$QAR]\ #,##0.00\)"/>
      <alignment horizontal="general" vertical="bottom" textRotation="0" wrapText="1" indent="0" justifyLastLine="0" shrinkToFit="0" readingOrder="0"/>
    </dxf>
    <dxf>
      <numFmt numFmtId="167" formatCode="_([$QAR]\ * #,##0.00_);_([$QAR]\ * \(#,##0.00\);_([$QAR]\ * &quot;-&quot;??_);_(@_)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Cost Center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79299254951355"/>
          <c:y val="7.4507853185018541E-2"/>
          <c:w val="0.72603929115391874"/>
          <c:h val="0.698549847935674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'[1]COST DATA and CHART'!$C$5</c:f>
              <c:strCache>
                <c:ptCount val="1"/>
                <c:pt idx="0">
                  <c:v>Annual Cost 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solidFill>
                <a:schemeClr val="bg1">
                  <a:lumMod val="85000"/>
                </a:schemeClr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'[1]COST DATA and CHART'!$B$6:$B$15</c:f>
              <c:strCache>
                <c:ptCount val="10"/>
                <c:pt idx="0">
                  <c:v>Parts and materials</c:v>
                </c:pt>
                <c:pt idx="1">
                  <c:v>Manufacturing equipment</c:v>
                </c:pt>
                <c:pt idx="2">
                  <c:v>Salaries</c:v>
                </c:pt>
                <c:pt idx="3">
                  <c:v>Maintenance</c:v>
                </c:pt>
                <c:pt idx="4">
                  <c:v>Office lease</c:v>
                </c:pt>
                <c:pt idx="5">
                  <c:v>Warehouse lease</c:v>
                </c:pt>
                <c:pt idx="6">
                  <c:v>Insurance</c:v>
                </c:pt>
                <c:pt idx="7">
                  <c:v>Benefits and pensions</c:v>
                </c:pt>
                <c:pt idx="8">
                  <c:v>Vehicles</c:v>
                </c:pt>
                <c:pt idx="9">
                  <c:v>Research</c:v>
                </c:pt>
              </c:strCache>
            </c:strRef>
          </c:cat>
          <c:val>
            <c:numRef>
              <c:f>'[1]COST DATA and CHART'!$C$6:$C$15</c:f>
              <c:numCache>
                <c:formatCode>General</c:formatCode>
                <c:ptCount val="10"/>
                <c:pt idx="0">
                  <c:v>1325000</c:v>
                </c:pt>
                <c:pt idx="1">
                  <c:v>900500</c:v>
                </c:pt>
                <c:pt idx="2">
                  <c:v>575000</c:v>
                </c:pt>
                <c:pt idx="3">
                  <c:v>395000</c:v>
                </c:pt>
                <c:pt idx="4">
                  <c:v>295000</c:v>
                </c:pt>
                <c:pt idx="5">
                  <c:v>250000</c:v>
                </c:pt>
                <c:pt idx="6">
                  <c:v>180000</c:v>
                </c:pt>
                <c:pt idx="7">
                  <c:v>130000</c:v>
                </c:pt>
                <c:pt idx="8">
                  <c:v>125000</c:v>
                </c:pt>
                <c:pt idx="9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D-49FE-8B46-B22AC287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10265136"/>
        <c:axId val="310265920"/>
      </c:barChart>
      <c:lineChart>
        <c:grouping val="standard"/>
        <c:varyColors val="0"/>
        <c:ser>
          <c:idx val="1"/>
          <c:order val="1"/>
          <c:tx>
            <c:strRef>
              <c:f>'[1]COST DATA and CHART'!$E$5</c:f>
              <c:strCache>
                <c:ptCount val="1"/>
                <c:pt idx="0">
                  <c:v>Cumulative Percent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'[1]COST DATA and CHART'!$E$6:$E$15</c:f>
              <c:numCache>
                <c:formatCode>General</c:formatCode>
                <c:ptCount val="10"/>
                <c:pt idx="0">
                  <c:v>0.31172803199623572</c:v>
                </c:pt>
                <c:pt idx="1">
                  <c:v>0.52358546053405486</c:v>
                </c:pt>
                <c:pt idx="2">
                  <c:v>0.65886366309845901</c:v>
                </c:pt>
                <c:pt idx="3">
                  <c:v>0.75179390659922363</c:v>
                </c:pt>
                <c:pt idx="4">
                  <c:v>0.82119750617574405</c:v>
                </c:pt>
                <c:pt idx="5">
                  <c:v>0.88001411598635459</c:v>
                </c:pt>
                <c:pt idx="6">
                  <c:v>0.92236207504999412</c:v>
                </c:pt>
                <c:pt idx="7">
                  <c:v>0.95294671215151161</c:v>
                </c:pt>
                <c:pt idx="8">
                  <c:v>0.98235501705681683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7D-49FE-8B46-B22AC2871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263960"/>
        <c:axId val="310266312"/>
      </c:lineChart>
      <c:catAx>
        <c:axId val="31026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65920"/>
        <c:crosses val="autoZero"/>
        <c:auto val="1"/>
        <c:lblAlgn val="ctr"/>
        <c:lblOffset val="100"/>
        <c:noMultiLvlLbl val="0"/>
      </c:catAx>
      <c:valAx>
        <c:axId val="31026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65136"/>
        <c:crosses val="autoZero"/>
        <c:crossBetween val="between"/>
      </c:valAx>
      <c:valAx>
        <c:axId val="310266312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63960"/>
        <c:crosses val="max"/>
        <c:crossBetween val="between"/>
      </c:valAx>
      <c:catAx>
        <c:axId val="310263960"/>
        <c:scaling>
          <c:orientation val="minMax"/>
        </c:scaling>
        <c:delete val="1"/>
        <c:axPos val="b"/>
        <c:majorTickMark val="out"/>
        <c:minorTickMark val="none"/>
        <c:tickLblPos val="nextTo"/>
        <c:crossAx val="310266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4" l="0.4" r="0.4" t="0.4" header="0.5" footer="0.5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66673</xdr:colOff>
      <xdr:row>1</xdr:row>
      <xdr:rowOff>171450</xdr:rowOff>
    </xdr:from>
    <xdr:to>
      <xdr:col>4</xdr:col>
      <xdr:colOff>1714499</xdr:colOff>
      <xdr:row>2</xdr:row>
      <xdr:rowOff>2790825</xdr:rowOff>
    </xdr:to>
    <xdr:graphicFrame macro="">
      <xdr:nvGraphicFramePr>
        <xdr:cNvPr id="2" name="Pareto Chart" descr="Pareto Chart for Cumulative Percent of Annual Costs across all Cost Center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%20analysis%20with%20Pareto%20char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DATA and CHART"/>
    </sheetNames>
    <sheetDataSet>
      <sheetData sheetId="0">
        <row r="5">
          <cell r="C5" t="str">
            <v xml:space="preserve">Annual Cost </v>
          </cell>
          <cell r="E5" t="str">
            <v>Cumulative Percent</v>
          </cell>
        </row>
        <row r="6">
          <cell r="B6" t="str">
            <v>Parts and materials</v>
          </cell>
          <cell r="C6">
            <v>1325000</v>
          </cell>
          <cell r="E6">
            <v>0.31172803199623572</v>
          </cell>
        </row>
        <row r="7">
          <cell r="B7" t="str">
            <v>Manufacturing equipment</v>
          </cell>
          <cell r="C7">
            <v>900500</v>
          </cell>
          <cell r="E7">
            <v>0.52358546053405486</v>
          </cell>
        </row>
        <row r="8">
          <cell r="B8" t="str">
            <v>Salaries</v>
          </cell>
          <cell r="C8">
            <v>575000</v>
          </cell>
          <cell r="E8">
            <v>0.65886366309845901</v>
          </cell>
        </row>
        <row r="9">
          <cell r="B9" t="str">
            <v>Maintenance</v>
          </cell>
          <cell r="C9">
            <v>395000</v>
          </cell>
          <cell r="E9">
            <v>0.75179390659922363</v>
          </cell>
        </row>
        <row r="10">
          <cell r="B10" t="str">
            <v>Office lease</v>
          </cell>
          <cell r="C10">
            <v>295000</v>
          </cell>
          <cell r="E10">
            <v>0.82119750617574405</v>
          </cell>
        </row>
        <row r="11">
          <cell r="B11" t="str">
            <v>Warehouse lease</v>
          </cell>
          <cell r="C11">
            <v>250000</v>
          </cell>
          <cell r="E11">
            <v>0.88001411598635459</v>
          </cell>
        </row>
        <row r="12">
          <cell r="B12" t="str">
            <v>Insurance</v>
          </cell>
          <cell r="C12">
            <v>180000</v>
          </cell>
          <cell r="E12">
            <v>0.92236207504999412</v>
          </cell>
        </row>
        <row r="13">
          <cell r="B13" t="str">
            <v>Benefits and pensions</v>
          </cell>
          <cell r="C13">
            <v>130000</v>
          </cell>
          <cell r="E13">
            <v>0.95294671215151161</v>
          </cell>
        </row>
        <row r="14">
          <cell r="B14" t="str">
            <v>Vehicles</v>
          </cell>
          <cell r="C14">
            <v>125000</v>
          </cell>
          <cell r="E14">
            <v>0.98235501705681683</v>
          </cell>
        </row>
        <row r="15">
          <cell r="B15" t="str">
            <v>Research</v>
          </cell>
          <cell r="C15">
            <v>75000</v>
          </cell>
          <cell r="E15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5:E27" totalsRowCount="1">
  <autoFilter ref="B5:E26" xr:uid="{00000000-0009-0000-0100-000001000000}"/>
  <tableColumns count="4">
    <tableColumn id="1" xr3:uid="{00000000-0010-0000-0000-000001000000}" name="Cost Center" totalsRowLabel="Total" totalsRowDxfId="4"/>
    <tableColumn id="2" xr3:uid="{00000000-0010-0000-0000-000002000000}" name="Monthly Cost " totalsRowFunction="sum" dataDxfId="3" totalsRowDxfId="2" dataCellStyle="Currency">
      <calculatedColumnFormula>'Aug 2026'!E167</calculatedColumnFormula>
    </tableColumn>
    <tableColumn id="3" xr3:uid="{00000000-0010-0000-0000-000003000000}" name="Percent of Total" totalsRowFunction="sum" totalsRowDxfId="1" dataCellStyle="Percent">
      <calculatedColumnFormula>IFERROR(Data[[#This Row],[Monthly Cost ]]/SUM(Data[[Monthly Cost ]]), "")</calculatedColumnFormula>
    </tableColumn>
    <tableColumn id="4" xr3:uid="{00000000-0010-0000-0000-000004000000}" name="Cumulative Percent" totalsRowDxfId="0" dataCellStyle="Percent">
      <calculatedColumnFormula>IFERROR(SUM(INDEX(Data[Percent of Total],1):Data[[#This Row],[Percent of Total]]), "")</calculatedColumnFormula>
    </tableColumn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Summary="Enter Cost Center, Annual Cost, and Percent of Total in this table. Cumulative Perce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46"/>
  <sheetViews>
    <sheetView zoomScale="75" zoomScaleNormal="40" workbookViewId="0">
      <selection activeCell="F75" sqref="F75"/>
    </sheetView>
  </sheetViews>
  <sheetFormatPr baseColWidth="10" defaultColWidth="8.83203125" defaultRowHeight="15" x14ac:dyDescent="0.2"/>
  <cols>
    <col min="2" max="2" width="9.83203125" style="1" customWidth="1"/>
    <col min="3" max="3" width="27.5" bestFit="1" customWidth="1"/>
    <col min="4" max="5" width="9.83203125" customWidth="1"/>
    <col min="6" max="6" width="27.6640625" bestFit="1" customWidth="1"/>
    <col min="7" max="8" width="9.83203125" customWidth="1"/>
    <col min="9" max="9" width="30.1640625" bestFit="1" customWidth="1"/>
    <col min="10" max="11" width="9.83203125" customWidth="1"/>
    <col min="12" max="12" width="42.5" style="18" bestFit="1" customWidth="1"/>
    <col min="13" max="14" width="9.83203125" customWidth="1"/>
    <col min="15" max="15" width="35.1640625" bestFit="1" customWidth="1"/>
  </cols>
  <sheetData>
    <row r="3" spans="2:15" s="2" customFormat="1" x14ac:dyDescent="0.2">
      <c r="B3" s="6">
        <v>1</v>
      </c>
      <c r="C3" s="6" t="s">
        <v>0</v>
      </c>
      <c r="E3" s="6">
        <v>2</v>
      </c>
      <c r="F3" s="6" t="s">
        <v>16</v>
      </c>
      <c r="H3" s="6">
        <v>3</v>
      </c>
      <c r="I3" s="6" t="s">
        <v>32</v>
      </c>
      <c r="K3" s="6">
        <v>4</v>
      </c>
      <c r="L3" s="16" t="s">
        <v>38</v>
      </c>
      <c r="N3" s="6">
        <v>5</v>
      </c>
      <c r="O3" s="6" t="s">
        <v>54</v>
      </c>
    </row>
    <row r="4" spans="2:15" x14ac:dyDescent="0.2">
      <c r="B4" s="8" t="s">
        <v>14</v>
      </c>
      <c r="C4" s="9" t="s">
        <v>1</v>
      </c>
      <c r="E4" s="8" t="s">
        <v>31</v>
      </c>
      <c r="F4" s="3" t="s">
        <v>17</v>
      </c>
      <c r="H4" s="8" t="s">
        <v>47</v>
      </c>
      <c r="I4" s="3" t="s">
        <v>33</v>
      </c>
      <c r="K4" s="9" t="s">
        <v>48</v>
      </c>
      <c r="L4" s="17" t="s">
        <v>49</v>
      </c>
      <c r="N4" s="9" t="s">
        <v>55</v>
      </c>
      <c r="O4" s="9" t="s">
        <v>56</v>
      </c>
    </row>
    <row r="5" spans="2:15" x14ac:dyDescent="0.2">
      <c r="B5" s="5"/>
      <c r="C5" s="4" t="s">
        <v>2</v>
      </c>
      <c r="D5" s="14"/>
      <c r="E5" s="5"/>
      <c r="F5" s="3" t="s">
        <v>18</v>
      </c>
      <c r="G5" s="14"/>
      <c r="H5" s="5"/>
      <c r="I5" s="3" t="s">
        <v>34</v>
      </c>
      <c r="J5" s="14"/>
      <c r="K5" s="3"/>
      <c r="L5" s="15" t="s">
        <v>39</v>
      </c>
      <c r="M5" s="14"/>
      <c r="N5" s="3"/>
      <c r="O5" s="3"/>
    </row>
    <row r="6" spans="2:15" x14ac:dyDescent="0.2">
      <c r="B6" s="5"/>
      <c r="C6" s="4" t="s">
        <v>3</v>
      </c>
      <c r="D6" s="14"/>
      <c r="E6" s="5"/>
      <c r="F6" s="3" t="s">
        <v>19</v>
      </c>
      <c r="G6" s="14"/>
      <c r="H6" s="5"/>
      <c r="I6" s="3" t="s">
        <v>35</v>
      </c>
      <c r="J6" s="14"/>
      <c r="K6" s="3"/>
      <c r="L6" s="15" t="s">
        <v>40</v>
      </c>
      <c r="M6" s="14"/>
      <c r="N6" s="9" t="s">
        <v>57</v>
      </c>
      <c r="O6" s="9" t="s">
        <v>58</v>
      </c>
    </row>
    <row r="7" spans="2:15" x14ac:dyDescent="0.2">
      <c r="B7" s="5"/>
      <c r="C7" s="4" t="s">
        <v>4</v>
      </c>
      <c r="D7" s="14"/>
      <c r="E7" s="5"/>
      <c r="F7" s="3" t="s">
        <v>20</v>
      </c>
      <c r="G7" s="14"/>
      <c r="H7" s="5"/>
      <c r="I7" s="3" t="s">
        <v>36</v>
      </c>
      <c r="J7" s="14"/>
      <c r="K7" s="3"/>
      <c r="L7" s="15" t="s">
        <v>41</v>
      </c>
      <c r="M7" s="14"/>
      <c r="N7" s="3"/>
      <c r="O7" s="3"/>
    </row>
    <row r="8" spans="2:15" x14ac:dyDescent="0.2">
      <c r="B8" s="5"/>
      <c r="C8" s="4" t="s">
        <v>5</v>
      </c>
      <c r="D8" s="14"/>
      <c r="E8" s="5"/>
      <c r="F8" s="3" t="s">
        <v>22</v>
      </c>
      <c r="G8" s="14"/>
      <c r="H8" s="5"/>
      <c r="I8" s="3" t="s">
        <v>160</v>
      </c>
      <c r="J8" s="14"/>
      <c r="K8" s="3"/>
      <c r="L8" s="15" t="s">
        <v>42</v>
      </c>
      <c r="M8" s="14"/>
      <c r="N8" s="9" t="s">
        <v>59</v>
      </c>
      <c r="O8" s="9" t="s">
        <v>60</v>
      </c>
    </row>
    <row r="9" spans="2:15" x14ac:dyDescent="0.2">
      <c r="B9" s="5"/>
      <c r="C9" s="4" t="s">
        <v>6</v>
      </c>
      <c r="D9" s="14"/>
      <c r="E9" s="5"/>
      <c r="F9" s="3" t="s">
        <v>21</v>
      </c>
      <c r="G9" s="14"/>
      <c r="H9" s="5"/>
      <c r="I9" s="3" t="s">
        <v>37</v>
      </c>
      <c r="J9" s="14"/>
      <c r="K9" s="3"/>
      <c r="L9" s="15" t="s">
        <v>43</v>
      </c>
      <c r="M9" s="14"/>
      <c r="N9" s="3"/>
      <c r="O9" s="3" t="s">
        <v>61</v>
      </c>
    </row>
    <row r="10" spans="2:15" x14ac:dyDescent="0.2">
      <c r="B10" s="5"/>
      <c r="C10" s="4" t="s">
        <v>7</v>
      </c>
      <c r="D10" s="14"/>
      <c r="E10" s="5"/>
      <c r="F10" s="4"/>
      <c r="G10" s="14"/>
      <c r="H10" s="5"/>
      <c r="I10" s="4" t="s">
        <v>161</v>
      </c>
      <c r="J10" s="14"/>
      <c r="K10" s="3"/>
      <c r="L10" s="15" t="s">
        <v>44</v>
      </c>
      <c r="M10" s="14"/>
      <c r="N10" s="3"/>
      <c r="O10" s="3" t="s">
        <v>62</v>
      </c>
    </row>
    <row r="11" spans="2:15" x14ac:dyDescent="0.2">
      <c r="B11" s="5"/>
      <c r="C11" s="4" t="s">
        <v>8</v>
      </c>
      <c r="D11" s="14"/>
      <c r="E11" s="8" t="s">
        <v>30</v>
      </c>
      <c r="F11" s="3" t="s">
        <v>23</v>
      </c>
      <c r="G11" s="14"/>
      <c r="H11" s="5"/>
      <c r="I11" s="4" t="s">
        <v>162</v>
      </c>
      <c r="J11" s="14"/>
      <c r="K11" s="3"/>
      <c r="L11" s="15" t="s">
        <v>45</v>
      </c>
      <c r="M11" s="14"/>
      <c r="N11" s="3"/>
      <c r="O11" s="3" t="s">
        <v>63</v>
      </c>
    </row>
    <row r="12" spans="2:15" x14ac:dyDescent="0.2">
      <c r="B12" s="5"/>
      <c r="C12" s="3"/>
      <c r="E12" s="5"/>
      <c r="F12" s="3" t="s">
        <v>24</v>
      </c>
      <c r="H12" s="5"/>
      <c r="I12" s="3"/>
      <c r="K12" s="3"/>
      <c r="L12" s="15" t="s">
        <v>46</v>
      </c>
      <c r="N12" s="3"/>
      <c r="O12" s="3" t="s">
        <v>64</v>
      </c>
    </row>
    <row r="13" spans="2:15" x14ac:dyDescent="0.2">
      <c r="B13" s="8" t="s">
        <v>15</v>
      </c>
      <c r="C13" s="9" t="s">
        <v>9</v>
      </c>
      <c r="E13" s="5"/>
      <c r="F13" s="3" t="s">
        <v>25</v>
      </c>
      <c r="H13" s="5"/>
      <c r="I13" s="3"/>
      <c r="K13" s="3"/>
      <c r="L13" s="15"/>
      <c r="N13" s="3"/>
      <c r="O13" s="3"/>
    </row>
    <row r="14" spans="2:15" x14ac:dyDescent="0.2">
      <c r="B14" s="5"/>
      <c r="C14" s="4" t="s">
        <v>10</v>
      </c>
      <c r="D14" s="14"/>
      <c r="E14" s="5"/>
      <c r="F14" s="3" t="s">
        <v>26</v>
      </c>
      <c r="G14" s="14"/>
      <c r="H14" s="5"/>
      <c r="I14" s="3"/>
      <c r="J14" s="14"/>
      <c r="K14" s="9" t="s">
        <v>52</v>
      </c>
      <c r="L14" s="17" t="s">
        <v>50</v>
      </c>
      <c r="M14" s="14"/>
      <c r="N14" s="3"/>
      <c r="O14" s="3"/>
    </row>
    <row r="15" spans="2:15" x14ac:dyDescent="0.2">
      <c r="B15" s="5"/>
      <c r="C15" s="4" t="s">
        <v>11</v>
      </c>
      <c r="D15" s="14"/>
      <c r="E15" s="5"/>
      <c r="F15" s="3" t="s">
        <v>27</v>
      </c>
      <c r="G15" s="14"/>
      <c r="H15" s="5"/>
      <c r="I15" s="3"/>
      <c r="J15" s="14"/>
      <c r="K15" s="3"/>
      <c r="L15" s="15"/>
      <c r="M15" s="14"/>
      <c r="N15" s="3"/>
      <c r="O15" s="3"/>
    </row>
    <row r="16" spans="2:15" x14ac:dyDescent="0.2">
      <c r="B16" s="5"/>
      <c r="C16" s="4" t="s">
        <v>12</v>
      </c>
      <c r="D16" s="14"/>
      <c r="E16" s="3"/>
      <c r="F16" s="3" t="s">
        <v>28</v>
      </c>
      <c r="G16" s="14"/>
      <c r="H16" s="5"/>
      <c r="I16" s="3"/>
      <c r="J16" s="14"/>
      <c r="K16" s="9" t="s">
        <v>53</v>
      </c>
      <c r="L16" s="17" t="s">
        <v>51</v>
      </c>
      <c r="M16" s="14"/>
      <c r="N16" s="3"/>
      <c r="O16" s="3"/>
    </row>
    <row r="17" spans="2:15" x14ac:dyDescent="0.2">
      <c r="B17" s="5"/>
      <c r="C17" s="4" t="s">
        <v>13</v>
      </c>
      <c r="D17" s="14"/>
      <c r="E17" s="3"/>
      <c r="F17" s="3" t="s">
        <v>29</v>
      </c>
      <c r="G17" s="14"/>
      <c r="H17" s="5"/>
      <c r="I17" s="3"/>
      <c r="J17" s="14"/>
      <c r="K17" s="3"/>
      <c r="L17" s="15"/>
      <c r="M17" s="14"/>
      <c r="N17" s="3"/>
      <c r="O17" s="3"/>
    </row>
    <row r="19" spans="2:15" ht="12.75" customHeight="1" x14ac:dyDescent="0.2">
      <c r="B19" s="6">
        <v>6</v>
      </c>
      <c r="C19" s="6" t="s">
        <v>65</v>
      </c>
      <c r="D19" s="2"/>
      <c r="E19" s="6">
        <v>7</v>
      </c>
      <c r="F19" s="6" t="s">
        <v>68</v>
      </c>
      <c r="H19" s="6">
        <v>8</v>
      </c>
      <c r="I19" s="6" t="s">
        <v>73</v>
      </c>
      <c r="J19" s="2"/>
      <c r="K19" s="6">
        <v>9</v>
      </c>
      <c r="L19" s="16" t="s">
        <v>77</v>
      </c>
      <c r="M19" s="2"/>
      <c r="N19" s="6">
        <v>10</v>
      </c>
      <c r="O19" s="6" t="s">
        <v>88</v>
      </c>
    </row>
    <row r="20" spans="2:15" x14ac:dyDescent="0.2">
      <c r="B20" s="8" t="s">
        <v>99</v>
      </c>
      <c r="C20" s="3" t="s">
        <v>66</v>
      </c>
      <c r="E20" s="8"/>
      <c r="F20" s="3" t="s">
        <v>69</v>
      </c>
      <c r="H20" s="8" t="s">
        <v>96</v>
      </c>
      <c r="I20" s="3" t="s">
        <v>74</v>
      </c>
      <c r="K20" s="9" t="s">
        <v>84</v>
      </c>
      <c r="L20" s="17" t="s">
        <v>78</v>
      </c>
      <c r="N20" s="9" t="s">
        <v>95</v>
      </c>
      <c r="O20" s="3" t="s">
        <v>89</v>
      </c>
    </row>
    <row r="21" spans="2:15" x14ac:dyDescent="0.2">
      <c r="B21" s="5"/>
      <c r="C21" s="3"/>
      <c r="E21" s="5"/>
      <c r="F21" s="3" t="s">
        <v>70</v>
      </c>
      <c r="G21" s="2"/>
      <c r="H21" s="5"/>
      <c r="I21" s="3"/>
      <c r="K21" s="3"/>
      <c r="L21" s="15"/>
      <c r="N21" s="3"/>
      <c r="O21" s="13" t="s">
        <v>90</v>
      </c>
    </row>
    <row r="22" spans="2:15" x14ac:dyDescent="0.2">
      <c r="B22" s="8" t="s">
        <v>100</v>
      </c>
      <c r="C22" s="3" t="s">
        <v>67</v>
      </c>
      <c r="E22" s="5"/>
      <c r="F22" s="3" t="s">
        <v>71</v>
      </c>
      <c r="H22" s="5"/>
      <c r="I22" s="3"/>
      <c r="K22" s="9" t="s">
        <v>85</v>
      </c>
      <c r="L22" s="17" t="s">
        <v>86</v>
      </c>
      <c r="N22" s="3"/>
      <c r="O22" s="13" t="s">
        <v>91</v>
      </c>
    </row>
    <row r="23" spans="2:15" x14ac:dyDescent="0.2">
      <c r="B23" s="5"/>
      <c r="C23" s="4"/>
      <c r="D23" s="14"/>
      <c r="E23" s="5"/>
      <c r="F23" s="3" t="s">
        <v>72</v>
      </c>
      <c r="H23" s="8" t="s">
        <v>97</v>
      </c>
      <c r="I23" s="3" t="s">
        <v>75</v>
      </c>
      <c r="J23" s="14"/>
      <c r="K23" s="3"/>
      <c r="L23" s="15"/>
      <c r="M23" s="14"/>
      <c r="N23" s="3"/>
      <c r="O23" s="13" t="s">
        <v>92</v>
      </c>
    </row>
    <row r="24" spans="2:15" x14ac:dyDescent="0.2">
      <c r="B24" s="5"/>
      <c r="C24" s="4"/>
      <c r="D24" s="14"/>
      <c r="E24" s="5"/>
      <c r="F24" s="3"/>
      <c r="H24" s="5"/>
      <c r="I24" s="3"/>
      <c r="J24" s="14"/>
      <c r="K24" s="12" t="s">
        <v>87</v>
      </c>
      <c r="L24" s="19" t="s">
        <v>79</v>
      </c>
      <c r="M24" s="14"/>
      <c r="N24" s="3"/>
      <c r="O24" s="13" t="s">
        <v>93</v>
      </c>
    </row>
    <row r="25" spans="2:15" x14ac:dyDescent="0.2">
      <c r="B25" s="5"/>
      <c r="C25" s="4"/>
      <c r="D25" s="14"/>
      <c r="E25" s="5"/>
      <c r="F25" s="3"/>
      <c r="G25" s="14"/>
      <c r="H25" s="5"/>
      <c r="I25" s="3"/>
      <c r="J25" s="14"/>
      <c r="K25" s="3"/>
      <c r="L25" s="15" t="s">
        <v>80</v>
      </c>
      <c r="M25" s="14"/>
      <c r="N25" s="3"/>
      <c r="O25" s="13" t="s">
        <v>94</v>
      </c>
    </row>
    <row r="26" spans="2:15" x14ac:dyDescent="0.2">
      <c r="B26" s="5"/>
      <c r="C26" s="4"/>
      <c r="D26" s="14"/>
      <c r="E26" s="5"/>
      <c r="F26" s="4"/>
      <c r="G26" s="14"/>
      <c r="H26" s="8" t="s">
        <v>98</v>
      </c>
      <c r="I26" s="3" t="s">
        <v>76</v>
      </c>
      <c r="J26" s="14"/>
      <c r="K26" s="3"/>
      <c r="L26" s="15" t="s">
        <v>81</v>
      </c>
      <c r="M26" s="14"/>
      <c r="N26" s="3"/>
      <c r="O26" s="3"/>
    </row>
    <row r="27" spans="2:15" x14ac:dyDescent="0.2">
      <c r="B27" s="5"/>
      <c r="C27" s="3"/>
      <c r="D27" s="14"/>
      <c r="E27" s="5"/>
      <c r="F27" s="4"/>
      <c r="G27" s="14"/>
      <c r="H27" s="5"/>
      <c r="I27" s="4"/>
      <c r="J27" s="14"/>
      <c r="K27" s="3"/>
      <c r="L27" s="15" t="s">
        <v>82</v>
      </c>
      <c r="M27" s="14"/>
      <c r="N27" s="3"/>
      <c r="O27" s="3"/>
    </row>
    <row r="28" spans="2:15" x14ac:dyDescent="0.2">
      <c r="B28" s="5"/>
      <c r="C28" s="3"/>
      <c r="E28" s="5"/>
      <c r="F28" s="3"/>
      <c r="G28" s="14"/>
      <c r="H28" s="5"/>
      <c r="I28" s="3"/>
      <c r="K28" s="3"/>
      <c r="L28" s="15" t="s">
        <v>83</v>
      </c>
      <c r="N28" s="3"/>
      <c r="O28" s="3"/>
    </row>
    <row r="30" spans="2:15" ht="12.75" customHeight="1" x14ac:dyDescent="0.2">
      <c r="B30" s="6">
        <v>11</v>
      </c>
      <c r="C30" s="6" t="s">
        <v>101</v>
      </c>
      <c r="D30" s="2"/>
      <c r="E30" s="6">
        <v>12</v>
      </c>
      <c r="F30" s="6" t="s">
        <v>102</v>
      </c>
      <c r="H30" s="6">
        <v>13</v>
      </c>
      <c r="I30" s="6" t="s">
        <v>113</v>
      </c>
      <c r="J30" s="2"/>
      <c r="K30" s="6">
        <v>14</v>
      </c>
      <c r="L30" s="16" t="s">
        <v>120</v>
      </c>
      <c r="M30" s="2"/>
      <c r="N30" s="6">
        <v>15</v>
      </c>
      <c r="O30" s="6" t="s">
        <v>127</v>
      </c>
    </row>
    <row r="31" spans="2:15" x14ac:dyDescent="0.2">
      <c r="B31" s="8" t="s">
        <v>105</v>
      </c>
      <c r="C31" s="3" t="s">
        <v>103</v>
      </c>
      <c r="E31" s="8"/>
      <c r="F31" s="3" t="s">
        <v>107</v>
      </c>
      <c r="H31" s="8" t="s">
        <v>117</v>
      </c>
      <c r="I31" s="3" t="s">
        <v>114</v>
      </c>
      <c r="K31" s="9" t="s">
        <v>124</v>
      </c>
      <c r="L31" s="15" t="s">
        <v>121</v>
      </c>
      <c r="N31" s="9"/>
      <c r="O31" s="3" t="s">
        <v>128</v>
      </c>
    </row>
    <row r="32" spans="2:15" x14ac:dyDescent="0.2">
      <c r="B32" s="5"/>
      <c r="C32" s="3"/>
      <c r="E32" s="5"/>
      <c r="F32" s="3" t="s">
        <v>108</v>
      </c>
      <c r="G32" s="2"/>
      <c r="H32" s="5"/>
      <c r="I32" s="3"/>
      <c r="K32" s="3"/>
      <c r="L32" s="15"/>
      <c r="N32" s="9"/>
      <c r="O32" s="3" t="s">
        <v>129</v>
      </c>
    </row>
    <row r="33" spans="2:15" x14ac:dyDescent="0.2">
      <c r="B33" s="8" t="s">
        <v>106</v>
      </c>
      <c r="C33" s="3" t="s">
        <v>104</v>
      </c>
      <c r="E33" s="5"/>
      <c r="F33" s="3" t="s">
        <v>109</v>
      </c>
      <c r="H33" s="8" t="s">
        <v>118</v>
      </c>
      <c r="I33" s="3" t="s">
        <v>116</v>
      </c>
      <c r="K33" s="9" t="s">
        <v>125</v>
      </c>
      <c r="L33" s="15" t="s">
        <v>123</v>
      </c>
      <c r="N33" s="9"/>
      <c r="O33" s="3" t="s">
        <v>130</v>
      </c>
    </row>
    <row r="34" spans="2:15" x14ac:dyDescent="0.2">
      <c r="B34" s="5"/>
      <c r="C34" s="4"/>
      <c r="D34" s="14"/>
      <c r="E34" s="5"/>
      <c r="F34" s="3" t="s">
        <v>110</v>
      </c>
      <c r="H34" s="5"/>
      <c r="I34" s="3"/>
      <c r="J34" s="14"/>
      <c r="K34" s="3"/>
      <c r="L34" s="15"/>
      <c r="M34" s="14"/>
      <c r="N34" s="9"/>
      <c r="O34" s="3" t="s">
        <v>131</v>
      </c>
    </row>
    <row r="35" spans="2:15" x14ac:dyDescent="0.2">
      <c r="B35" s="5"/>
      <c r="C35" s="4"/>
      <c r="D35" s="14"/>
      <c r="E35" s="3"/>
      <c r="F35" s="3" t="s">
        <v>111</v>
      </c>
      <c r="H35" s="8" t="s">
        <v>119</v>
      </c>
      <c r="I35" s="3" t="s">
        <v>115</v>
      </c>
      <c r="J35" s="14"/>
      <c r="K35" s="12" t="s">
        <v>126</v>
      </c>
      <c r="L35" s="15" t="s">
        <v>122</v>
      </c>
      <c r="M35" s="14"/>
      <c r="N35" s="3"/>
      <c r="O35" s="13"/>
    </row>
    <row r="36" spans="2:15" x14ac:dyDescent="0.2">
      <c r="B36" s="5"/>
      <c r="C36" s="4"/>
      <c r="D36" s="14"/>
      <c r="E36" s="3"/>
      <c r="F36" s="3" t="s">
        <v>112</v>
      </c>
      <c r="G36" s="14"/>
      <c r="H36" s="5"/>
      <c r="I36" s="3"/>
      <c r="J36" s="14"/>
      <c r="K36" s="3"/>
      <c r="L36" s="15"/>
      <c r="M36" s="14"/>
      <c r="N36" s="3"/>
      <c r="O36" s="13"/>
    </row>
    <row r="38" spans="2:15" s="10" customFormat="1" ht="12.75" customHeight="1" x14ac:dyDescent="0.2">
      <c r="B38" s="6">
        <v>16</v>
      </c>
      <c r="C38" s="11" t="s">
        <v>137</v>
      </c>
      <c r="D38" s="2"/>
      <c r="E38" s="6">
        <v>17</v>
      </c>
      <c r="F38" s="7" t="s">
        <v>138</v>
      </c>
      <c r="H38" s="6">
        <v>18</v>
      </c>
      <c r="I38" s="6" t="s">
        <v>146</v>
      </c>
      <c r="J38" s="2"/>
      <c r="K38" s="6">
        <v>19</v>
      </c>
      <c r="L38" s="16" t="s">
        <v>151</v>
      </c>
      <c r="M38" s="2"/>
      <c r="N38"/>
      <c r="O38"/>
    </row>
    <row r="39" spans="2:15" x14ac:dyDescent="0.2">
      <c r="B39" s="8"/>
      <c r="C39" s="3" t="s">
        <v>132</v>
      </c>
      <c r="E39" s="8"/>
      <c r="F39" s="3" t="s">
        <v>139</v>
      </c>
      <c r="H39" s="8"/>
      <c r="I39" s="3" t="s">
        <v>147</v>
      </c>
      <c r="K39" s="12"/>
      <c r="L39" s="15" t="s">
        <v>152</v>
      </c>
    </row>
    <row r="40" spans="2:15" x14ac:dyDescent="0.2">
      <c r="B40" s="8"/>
      <c r="C40" s="13" t="s">
        <v>133</v>
      </c>
      <c r="E40" s="8"/>
      <c r="F40" s="3" t="s">
        <v>140</v>
      </c>
      <c r="G40" s="2"/>
      <c r="H40" s="5"/>
      <c r="I40" s="3"/>
      <c r="K40" s="12"/>
      <c r="L40" s="3" t="s">
        <v>156</v>
      </c>
    </row>
    <row r="41" spans="2:15" x14ac:dyDescent="0.2">
      <c r="B41" s="8"/>
      <c r="C41" s="13" t="s">
        <v>136</v>
      </c>
      <c r="E41" s="8"/>
      <c r="F41" s="3" t="s">
        <v>141</v>
      </c>
      <c r="H41" s="8"/>
      <c r="I41" s="3" t="s">
        <v>150</v>
      </c>
      <c r="K41" s="12"/>
      <c r="L41" s="3" t="s">
        <v>153</v>
      </c>
    </row>
    <row r="42" spans="2:15" x14ac:dyDescent="0.2">
      <c r="B42" s="8"/>
      <c r="C42" s="13" t="s">
        <v>134</v>
      </c>
      <c r="D42" s="14"/>
      <c r="E42" s="8"/>
      <c r="F42" s="3" t="s">
        <v>142</v>
      </c>
      <c r="H42" s="5"/>
      <c r="I42" s="3"/>
      <c r="J42" s="14"/>
      <c r="K42" s="12"/>
      <c r="L42" s="3" t="s">
        <v>157</v>
      </c>
      <c r="M42" s="14"/>
    </row>
    <row r="43" spans="2:15" x14ac:dyDescent="0.2">
      <c r="B43" s="8"/>
      <c r="C43" s="13" t="s">
        <v>135</v>
      </c>
      <c r="D43" s="14"/>
      <c r="E43" s="9"/>
      <c r="F43" s="3" t="s">
        <v>143</v>
      </c>
      <c r="H43" s="8"/>
      <c r="I43" s="3" t="s">
        <v>148</v>
      </c>
      <c r="J43" s="14"/>
      <c r="K43" s="12"/>
      <c r="L43" s="3" t="s">
        <v>154</v>
      </c>
      <c r="M43" s="14"/>
    </row>
    <row r="44" spans="2:15" x14ac:dyDescent="0.2">
      <c r="B44" s="5"/>
      <c r="C44" s="3"/>
      <c r="D44" s="14"/>
      <c r="E44" s="9"/>
      <c r="F44" s="3" t="s">
        <v>144</v>
      </c>
      <c r="G44" s="14"/>
      <c r="H44" s="5"/>
      <c r="I44" s="3"/>
      <c r="J44" s="14"/>
      <c r="K44" s="12"/>
      <c r="L44" s="3" t="s">
        <v>158</v>
      </c>
      <c r="M44" s="14"/>
    </row>
    <row r="45" spans="2:15" x14ac:dyDescent="0.2">
      <c r="B45" s="5"/>
      <c r="C45" s="3"/>
      <c r="E45" s="9"/>
      <c r="F45" s="3" t="s">
        <v>145</v>
      </c>
      <c r="H45" s="9"/>
      <c r="I45" s="3" t="s">
        <v>149</v>
      </c>
      <c r="K45" s="12"/>
      <c r="L45" s="3" t="s">
        <v>155</v>
      </c>
    </row>
    <row r="46" spans="2:15" x14ac:dyDescent="0.2">
      <c r="B46" s="5"/>
      <c r="C46" s="3"/>
      <c r="E46" s="3"/>
      <c r="F46" s="3"/>
      <c r="H46" s="3"/>
      <c r="I46" s="3"/>
      <c r="K46" s="12"/>
      <c r="L46" s="3" t="s">
        <v>159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37"/>
  <sheetViews>
    <sheetView zoomScale="85" zoomScaleNormal="85" workbookViewId="0">
      <pane xSplit="2" topLeftCell="C1" activePane="topRight" state="frozen"/>
      <selection activeCell="B1" sqref="B1"/>
      <selection pane="topRight" activeCell="I19" sqref="I19"/>
    </sheetView>
  </sheetViews>
  <sheetFormatPr baseColWidth="10" defaultColWidth="8.83203125" defaultRowHeight="15" x14ac:dyDescent="0.2"/>
  <cols>
    <col min="1" max="1" width="4.5" hidden="1" customWidth="1"/>
    <col min="2" max="2" width="42.1640625" bestFit="1" customWidth="1"/>
    <col min="3" max="33" width="12.33203125" customWidth="1"/>
  </cols>
  <sheetData>
    <row r="1" spans="1:34" ht="19" x14ac:dyDescent="0.25">
      <c r="B1" s="23">
        <f>SUM(C137:AG137)</f>
        <v>149692.72999999998</v>
      </c>
      <c r="C1" s="38">
        <v>46204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 spans="1:34" s="21" customFormat="1" x14ac:dyDescent="0.2">
      <c r="A2" s="6">
        <v>1</v>
      </c>
      <c r="B2" s="6" t="s">
        <v>0</v>
      </c>
      <c r="C2" s="20">
        <v>46204</v>
      </c>
      <c r="D2" s="20">
        <v>46205</v>
      </c>
      <c r="E2" s="20">
        <v>46206</v>
      </c>
      <c r="F2" s="20">
        <v>46207</v>
      </c>
      <c r="G2" s="20">
        <v>46208</v>
      </c>
      <c r="H2" s="20">
        <v>46209</v>
      </c>
      <c r="I2" s="20">
        <v>46210</v>
      </c>
      <c r="J2" s="20">
        <v>46211</v>
      </c>
      <c r="K2" s="20">
        <v>46212</v>
      </c>
      <c r="L2" s="20">
        <v>46213</v>
      </c>
      <c r="M2" s="20">
        <v>46214</v>
      </c>
      <c r="N2" s="20">
        <v>46215</v>
      </c>
      <c r="O2" s="20">
        <v>46216</v>
      </c>
      <c r="P2" s="20">
        <v>46217</v>
      </c>
      <c r="Q2" s="20">
        <v>46218</v>
      </c>
      <c r="R2" s="20">
        <v>46219</v>
      </c>
      <c r="S2" s="20">
        <v>46220</v>
      </c>
      <c r="T2" s="20">
        <v>46221</v>
      </c>
      <c r="U2" s="20">
        <v>46222</v>
      </c>
      <c r="V2" s="20">
        <v>46223</v>
      </c>
      <c r="W2" s="20">
        <v>46224</v>
      </c>
      <c r="X2" s="20">
        <v>46225</v>
      </c>
      <c r="Y2" s="20">
        <v>46226</v>
      </c>
      <c r="Z2" s="20">
        <v>46227</v>
      </c>
      <c r="AA2" s="20">
        <v>46228</v>
      </c>
      <c r="AB2" s="20">
        <v>46229</v>
      </c>
      <c r="AC2" s="20">
        <v>46230</v>
      </c>
      <c r="AD2" s="20">
        <v>46231</v>
      </c>
      <c r="AE2" s="20">
        <v>46232</v>
      </c>
      <c r="AF2" s="20">
        <v>46233</v>
      </c>
      <c r="AG2" s="20">
        <v>46234</v>
      </c>
    </row>
    <row r="3" spans="1:34" x14ac:dyDescent="0.2">
      <c r="A3" s="8" t="s">
        <v>14</v>
      </c>
      <c r="B3" s="9" t="s">
        <v>1</v>
      </c>
      <c r="C3" s="3">
        <f>94+21+43+20+22+5+156+100+723</f>
        <v>1184</v>
      </c>
      <c r="D3" s="3">
        <f>58+77+299+5+35+129+80+710+377+122+680+633+34</f>
        <v>3239</v>
      </c>
      <c r="E3" s="3">
        <f>24+70+69+59+5+20+150</f>
        <v>397</v>
      </c>
      <c r="F3" s="3">
        <f>20+4+225+1327+478+662</f>
        <v>2716</v>
      </c>
      <c r="G3" s="3">
        <f>36+580+246+231+107</f>
        <v>1200</v>
      </c>
      <c r="H3" s="3">
        <f>6625+595+20+20+311+125+124+661+660+72+139</f>
        <v>9352</v>
      </c>
      <c r="I3" s="3">
        <f>68+74+57+68+800</f>
        <v>1067</v>
      </c>
      <c r="J3" s="3">
        <f>270+57+150+169+40</f>
        <v>686</v>
      </c>
      <c r="K3" s="3">
        <f>172+32.4+225</f>
        <v>429.4</v>
      </c>
      <c r="L3" s="3">
        <v>34</v>
      </c>
      <c r="M3" s="3">
        <f>70+119+17+413+325+162+64+94+539+265+379</f>
        <v>2447</v>
      </c>
      <c r="N3" s="3">
        <f>32+120</f>
        <v>152</v>
      </c>
      <c r="O3" s="3">
        <f>170+357.5</f>
        <v>527.5</v>
      </c>
      <c r="P3" s="3">
        <f>152+5+120</f>
        <v>277</v>
      </c>
      <c r="Q3" s="3">
        <f>20+82+15+103.64+14</f>
        <v>234.64</v>
      </c>
      <c r="R3" s="3">
        <f>10+155+79.25+215.76+110</f>
        <v>570.01</v>
      </c>
      <c r="S3" s="3">
        <v>101.5</v>
      </c>
      <c r="T3" s="3">
        <f>69.5+120.75+30+53.5+212.75+308</f>
        <v>794.5</v>
      </c>
      <c r="U3" s="3">
        <f>53.25+28.5</f>
        <v>81.75</v>
      </c>
      <c r="V3" s="3">
        <f>30+18</f>
        <v>48</v>
      </c>
      <c r="W3" s="3">
        <f>25+1530+70+56.5+125</f>
        <v>1806.5</v>
      </c>
      <c r="X3" s="3">
        <f>58+56.25+10.5+19.5+224+1317</f>
        <v>1685.25</v>
      </c>
      <c r="Y3" s="3">
        <f>12+24+41+504</f>
        <v>581</v>
      </c>
      <c r="Z3" s="3"/>
      <c r="AA3" s="3">
        <f>20+105.86+233.6+95.88+135</f>
        <v>590.33999999999992</v>
      </c>
      <c r="AB3" s="3">
        <f>26+139+56+160+85+132.98</f>
        <v>598.98</v>
      </c>
      <c r="AC3" s="3">
        <v>112</v>
      </c>
      <c r="AD3" s="3">
        <f>80+46+38.5+182</f>
        <v>346.5</v>
      </c>
      <c r="AE3" s="3">
        <f>120+50+107.45+24+150+90+280+38.25+1408+917</f>
        <v>3184.7</v>
      </c>
      <c r="AF3" s="3">
        <f>47+10.5+55+340</f>
        <v>452.5</v>
      </c>
      <c r="AG3" s="3">
        <v>55</v>
      </c>
      <c r="AH3">
        <f t="shared" ref="AH3:AH52" si="0">SUM(C3:AG3)</f>
        <v>34951.07</v>
      </c>
    </row>
    <row r="4" spans="1:34" x14ac:dyDescent="0.2">
      <c r="A4" s="5"/>
      <c r="B4" s="4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v>787.02</v>
      </c>
      <c r="O4" s="3"/>
      <c r="P4" s="3"/>
      <c r="Q4" s="3"/>
      <c r="R4" s="3"/>
      <c r="S4" s="3"/>
      <c r="T4" s="3"/>
      <c r="U4" s="3">
        <v>513.5</v>
      </c>
      <c r="V4" s="3"/>
      <c r="W4" s="3">
        <v>602.32000000000005</v>
      </c>
      <c r="X4" s="3"/>
      <c r="Y4" s="3">
        <v>331.55</v>
      </c>
      <c r="Z4" s="3"/>
      <c r="AA4" s="3"/>
      <c r="AB4" s="3"/>
      <c r="AC4" s="3">
        <v>230</v>
      </c>
      <c r="AD4" s="3"/>
      <c r="AE4" s="3"/>
      <c r="AF4" s="3"/>
      <c r="AG4" s="3"/>
      <c r="AH4">
        <f t="shared" si="0"/>
        <v>2464.3900000000003</v>
      </c>
    </row>
    <row r="5" spans="1:34" x14ac:dyDescent="0.2">
      <c r="A5" s="5"/>
      <c r="B5" s="4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>
        <v>1320</v>
      </c>
      <c r="X5" s="3"/>
      <c r="Y5" s="3"/>
      <c r="Z5" s="3"/>
      <c r="AA5" s="3"/>
      <c r="AB5" s="3"/>
      <c r="AC5" s="3">
        <v>155</v>
      </c>
      <c r="AD5" s="3"/>
      <c r="AE5" s="3"/>
      <c r="AF5" s="3"/>
      <c r="AG5" s="3"/>
      <c r="AH5">
        <f t="shared" si="0"/>
        <v>1475</v>
      </c>
    </row>
    <row r="6" spans="1:34" x14ac:dyDescent="0.2">
      <c r="A6" s="5"/>
      <c r="B6" s="4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v>660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>
        <f t="shared" si="0"/>
        <v>660</v>
      </c>
    </row>
    <row r="7" spans="1:34" x14ac:dyDescent="0.2">
      <c r="A7" s="5"/>
      <c r="B7" s="4" t="s">
        <v>5</v>
      </c>
      <c r="C7" s="3"/>
      <c r="D7" s="3"/>
      <c r="E7" s="3"/>
      <c r="F7" s="3">
        <v>3000</v>
      </c>
      <c r="G7" s="3"/>
      <c r="H7" s="3"/>
      <c r="I7" s="3"/>
      <c r="J7" s="3"/>
      <c r="K7" s="3"/>
      <c r="L7" s="3"/>
      <c r="M7" s="3">
        <v>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>
        <f t="shared" si="0"/>
        <v>7000</v>
      </c>
    </row>
    <row r="8" spans="1:34" x14ac:dyDescent="0.2">
      <c r="A8" s="5"/>
      <c r="B8" s="4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>
        <f t="shared" si="0"/>
        <v>0</v>
      </c>
    </row>
    <row r="9" spans="1:34" x14ac:dyDescent="0.2">
      <c r="A9" s="5"/>
      <c r="B9" s="4" t="s">
        <v>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>
        <f t="shared" si="0"/>
        <v>0</v>
      </c>
    </row>
    <row r="10" spans="1:34" x14ac:dyDescent="0.2">
      <c r="A10" s="5"/>
      <c r="B10" s="4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>
        <f t="shared" si="0"/>
        <v>0</v>
      </c>
    </row>
    <row r="11" spans="1:34" x14ac:dyDescent="0.2">
      <c r="A11" s="8" t="s">
        <v>15</v>
      </c>
      <c r="B11" s="9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>
        <f t="shared" si="0"/>
        <v>0</v>
      </c>
    </row>
    <row r="12" spans="1:34" x14ac:dyDescent="0.2">
      <c r="A12" s="5"/>
      <c r="B12" s="4" t="s">
        <v>10</v>
      </c>
      <c r="C12" s="3">
        <v>975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823</v>
      </c>
      <c r="AD12" s="3"/>
      <c r="AE12" s="3"/>
      <c r="AF12" s="3"/>
      <c r="AG12" s="3"/>
      <c r="AH12">
        <f t="shared" si="0"/>
        <v>1798</v>
      </c>
    </row>
    <row r="13" spans="1:34" x14ac:dyDescent="0.2">
      <c r="A13" s="5"/>
      <c r="B13" s="4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>
        <f t="shared" si="0"/>
        <v>0</v>
      </c>
    </row>
    <row r="14" spans="1:34" x14ac:dyDescent="0.2">
      <c r="A14" s="5"/>
      <c r="B14" s="4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>
        <f t="shared" si="0"/>
        <v>0</v>
      </c>
    </row>
    <row r="15" spans="1:34" x14ac:dyDescent="0.2">
      <c r="A15" s="5"/>
      <c r="B15" s="4" t="s">
        <v>13</v>
      </c>
      <c r="C15" s="3">
        <v>450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>
        <f t="shared" si="0"/>
        <v>450</v>
      </c>
    </row>
    <row r="16" spans="1:34" x14ac:dyDescent="0.2">
      <c r="A16" s="6">
        <v>2</v>
      </c>
      <c r="B16" s="6" t="s">
        <v>16</v>
      </c>
      <c r="C16" s="3"/>
      <c r="D16" s="3">
        <f>52+138</f>
        <v>190</v>
      </c>
      <c r="E16" s="3"/>
      <c r="F16" s="3"/>
      <c r="G16" s="3"/>
      <c r="H16" s="3">
        <v>299</v>
      </c>
      <c r="I16" s="3"/>
      <c r="J16" s="3"/>
      <c r="K16" s="3">
        <f>115+131+48.5+38+65+10</f>
        <v>407.5</v>
      </c>
      <c r="L16" s="3">
        <f>66</f>
        <v>66</v>
      </c>
      <c r="M16" s="3"/>
      <c r="N16" s="3">
        <v>70</v>
      </c>
      <c r="O16" s="3"/>
      <c r="P16" s="3"/>
      <c r="Q16" s="3">
        <f>158+65+140</f>
        <v>363</v>
      </c>
      <c r="R16" s="3">
        <v>205</v>
      </c>
      <c r="S16" s="3"/>
      <c r="T16" s="3"/>
      <c r="U16" s="3"/>
      <c r="V16" s="3"/>
      <c r="W16" s="3">
        <f>50+93.5</f>
        <v>143.5</v>
      </c>
      <c r="X16" s="3"/>
      <c r="Y16" s="3"/>
      <c r="Z16" s="3"/>
      <c r="AA16" s="3"/>
      <c r="AB16" s="3"/>
      <c r="AC16" s="3">
        <v>309</v>
      </c>
      <c r="AD16" s="3">
        <v>185</v>
      </c>
      <c r="AE16" s="3"/>
      <c r="AF16" s="3">
        <v>3</v>
      </c>
      <c r="AG16" s="3"/>
      <c r="AH16">
        <f t="shared" si="0"/>
        <v>2241</v>
      </c>
    </row>
    <row r="17" spans="1:34" x14ac:dyDescent="0.2">
      <c r="A17" s="8" t="s">
        <v>31</v>
      </c>
      <c r="B17" s="3" t="s">
        <v>17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>
        <f t="shared" si="0"/>
        <v>0</v>
      </c>
    </row>
    <row r="18" spans="1:34" x14ac:dyDescent="0.2">
      <c r="A18" s="5"/>
      <c r="B18" s="3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20</v>
      </c>
      <c r="AA18" s="3"/>
      <c r="AB18" s="3"/>
      <c r="AC18" s="3"/>
      <c r="AD18" s="3"/>
      <c r="AE18" s="3"/>
      <c r="AF18" s="3"/>
      <c r="AG18" s="3"/>
      <c r="AH18">
        <f t="shared" si="0"/>
        <v>20</v>
      </c>
    </row>
    <row r="19" spans="1:34" x14ac:dyDescent="0.2">
      <c r="A19" s="5"/>
      <c r="B19" s="3" t="s">
        <v>19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>
        <f t="shared" si="0"/>
        <v>0</v>
      </c>
    </row>
    <row r="20" spans="1:34" x14ac:dyDescent="0.2">
      <c r="A20" s="5"/>
      <c r="B20" s="3" t="s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>
        <f t="shared" si="0"/>
        <v>0</v>
      </c>
    </row>
    <row r="21" spans="1:34" x14ac:dyDescent="0.2">
      <c r="A21" s="5"/>
      <c r="B21" s="3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>
        <f t="shared" si="0"/>
        <v>0</v>
      </c>
    </row>
    <row r="22" spans="1:34" x14ac:dyDescent="0.2">
      <c r="A22" s="5"/>
      <c r="B22" s="3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>
        <f t="shared" si="0"/>
        <v>0</v>
      </c>
    </row>
    <row r="23" spans="1:34" x14ac:dyDescent="0.2">
      <c r="A23" s="8" t="s">
        <v>30</v>
      </c>
      <c r="B23" s="3" t="s">
        <v>23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260</v>
      </c>
      <c r="AE23" s="3"/>
      <c r="AF23" s="3"/>
      <c r="AG23" s="3"/>
      <c r="AH23">
        <f t="shared" si="0"/>
        <v>260</v>
      </c>
    </row>
    <row r="24" spans="1:34" x14ac:dyDescent="0.2">
      <c r="A24" s="5"/>
      <c r="B24" s="3" t="s">
        <v>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>
        <f t="shared" si="0"/>
        <v>0</v>
      </c>
    </row>
    <row r="25" spans="1:34" x14ac:dyDescent="0.2">
      <c r="A25" s="5"/>
      <c r="B25" s="3" t="s">
        <v>25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>
        <f t="shared" si="0"/>
        <v>0</v>
      </c>
    </row>
    <row r="26" spans="1:34" x14ac:dyDescent="0.2">
      <c r="A26" s="5"/>
      <c r="B26" s="3" t="s">
        <v>26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>
        <f t="shared" si="0"/>
        <v>0</v>
      </c>
    </row>
    <row r="27" spans="1:34" x14ac:dyDescent="0.2">
      <c r="A27" s="5"/>
      <c r="B27" s="3" t="s">
        <v>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>
        <f t="shared" si="0"/>
        <v>0</v>
      </c>
    </row>
    <row r="28" spans="1:34" x14ac:dyDescent="0.2">
      <c r="A28" s="3"/>
      <c r="B28" s="3" t="s">
        <v>28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>
        <f t="shared" si="0"/>
        <v>0</v>
      </c>
    </row>
    <row r="29" spans="1:34" x14ac:dyDescent="0.2">
      <c r="A29" s="3"/>
      <c r="B29" s="3" t="s">
        <v>29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>
        <f t="shared" si="0"/>
        <v>0</v>
      </c>
    </row>
    <row r="30" spans="1:34" x14ac:dyDescent="0.2">
      <c r="A30" s="6">
        <v>3</v>
      </c>
      <c r="B30" s="6" t="s">
        <v>32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>
        <f t="shared" si="0"/>
        <v>0</v>
      </c>
    </row>
    <row r="31" spans="1:34" x14ac:dyDescent="0.2">
      <c r="A31" s="8" t="s">
        <v>47</v>
      </c>
      <c r="B31" s="3" t="s">
        <v>33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>
        <v>10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12</v>
      </c>
      <c r="AF31" s="3"/>
      <c r="AG31" s="3"/>
      <c r="AH31">
        <f t="shared" si="0"/>
        <v>22</v>
      </c>
    </row>
    <row r="32" spans="1:34" x14ac:dyDescent="0.2">
      <c r="A32" s="5"/>
      <c r="B32" s="3" t="s">
        <v>34</v>
      </c>
      <c r="C32" s="3">
        <v>1000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>
        <f t="shared" si="0"/>
        <v>1000</v>
      </c>
    </row>
    <row r="33" spans="1:34" x14ac:dyDescent="0.2">
      <c r="A33" s="5"/>
      <c r="B33" s="3" t="s">
        <v>35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>
        <f t="shared" si="0"/>
        <v>0</v>
      </c>
    </row>
    <row r="34" spans="1:34" x14ac:dyDescent="0.2">
      <c r="A34" s="5"/>
      <c r="B34" s="3" t="s">
        <v>36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>
        <f t="shared" si="0"/>
        <v>0</v>
      </c>
    </row>
    <row r="35" spans="1:34" x14ac:dyDescent="0.2">
      <c r="A35" s="5"/>
      <c r="B35" s="3" t="s">
        <v>160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>
        <f t="shared" si="0"/>
        <v>0</v>
      </c>
    </row>
    <row r="36" spans="1:34" x14ac:dyDescent="0.2">
      <c r="A36" s="5"/>
      <c r="B36" s="3" t="s">
        <v>37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75</v>
      </c>
      <c r="AE36" s="3"/>
      <c r="AF36" s="3"/>
      <c r="AG36" s="3"/>
      <c r="AH36">
        <f t="shared" si="0"/>
        <v>75</v>
      </c>
    </row>
    <row r="37" spans="1:34" x14ac:dyDescent="0.2">
      <c r="A37" s="5"/>
      <c r="B37" s="4" t="s">
        <v>161</v>
      </c>
      <c r="C37" s="3"/>
      <c r="D37" s="3">
        <v>1150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>
        <f t="shared" si="0"/>
        <v>1150</v>
      </c>
    </row>
    <row r="38" spans="1:34" x14ac:dyDescent="0.2">
      <c r="A38" s="5"/>
      <c r="B38" s="4" t="s">
        <v>162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>
        <f t="shared" si="0"/>
        <v>0</v>
      </c>
    </row>
    <row r="39" spans="1:34" x14ac:dyDescent="0.2">
      <c r="A39" s="6">
        <v>4</v>
      </c>
      <c r="B39" s="16" t="s"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>
        <f t="shared" si="0"/>
        <v>0</v>
      </c>
    </row>
    <row r="40" spans="1:34" x14ac:dyDescent="0.2">
      <c r="A40" s="9" t="s">
        <v>48</v>
      </c>
      <c r="B40" s="17" t="s">
        <v>49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v>1160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f>350+350+280+290</f>
        <v>1270</v>
      </c>
      <c r="AB40" s="3"/>
      <c r="AC40" s="3"/>
      <c r="AD40" s="3"/>
      <c r="AE40" s="3">
        <v>100</v>
      </c>
      <c r="AF40" s="3"/>
      <c r="AG40" s="3"/>
      <c r="AH40">
        <f t="shared" si="0"/>
        <v>2530</v>
      </c>
    </row>
    <row r="41" spans="1:34" x14ac:dyDescent="0.2">
      <c r="A41" s="3"/>
      <c r="B41" s="15" t="s">
        <v>39</v>
      </c>
      <c r="C41" s="3"/>
      <c r="D41" s="3"/>
      <c r="E41" s="3"/>
      <c r="F41" s="3"/>
      <c r="G41" s="3"/>
      <c r="H41" s="3"/>
      <c r="I41" s="3">
        <v>175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>
        <f t="shared" si="0"/>
        <v>175</v>
      </c>
    </row>
    <row r="42" spans="1:34" x14ac:dyDescent="0.2">
      <c r="A42" s="3"/>
      <c r="B42" s="15" t="s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>
        <f t="shared" si="0"/>
        <v>0</v>
      </c>
    </row>
    <row r="43" spans="1:34" x14ac:dyDescent="0.2">
      <c r="A43" s="3"/>
      <c r="B43" s="15" t="s">
        <v>41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>
        <f t="shared" si="0"/>
        <v>0</v>
      </c>
    </row>
    <row r="44" spans="1:34" x14ac:dyDescent="0.2">
      <c r="A44" s="3"/>
      <c r="B44" s="15" t="s">
        <v>42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>
        <f t="shared" si="0"/>
        <v>0</v>
      </c>
    </row>
    <row r="45" spans="1:34" x14ac:dyDescent="0.2">
      <c r="A45" s="3"/>
      <c r="B45" s="15" t="s">
        <v>43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>
        <f t="shared" si="0"/>
        <v>0</v>
      </c>
    </row>
    <row r="46" spans="1:34" x14ac:dyDescent="0.2">
      <c r="A46" s="3"/>
      <c r="B46" s="15" t="s">
        <v>44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>
        <f t="shared" si="0"/>
        <v>0</v>
      </c>
    </row>
    <row r="47" spans="1:34" x14ac:dyDescent="0.2">
      <c r="A47" s="3"/>
      <c r="B47" s="15" t="s">
        <v>45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>
        <v>35</v>
      </c>
      <c r="X47" s="3"/>
      <c r="Y47" s="3"/>
      <c r="Z47" s="3"/>
      <c r="AA47" s="3">
        <v>30</v>
      </c>
      <c r="AB47" s="3"/>
      <c r="AC47" s="3"/>
      <c r="AD47" s="3"/>
      <c r="AE47" s="3"/>
      <c r="AF47" s="3"/>
      <c r="AG47" s="3"/>
      <c r="AH47">
        <f t="shared" si="0"/>
        <v>65</v>
      </c>
    </row>
    <row r="48" spans="1:34" x14ac:dyDescent="0.2">
      <c r="A48" s="3"/>
      <c r="B48" s="15" t="s">
        <v>46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>
        <f t="shared" si="0"/>
        <v>0</v>
      </c>
    </row>
    <row r="49" spans="1:34" x14ac:dyDescent="0.2">
      <c r="A49" s="9" t="s">
        <v>52</v>
      </c>
      <c r="B49" s="17" t="s">
        <v>50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>
        <f t="shared" si="0"/>
        <v>0</v>
      </c>
    </row>
    <row r="50" spans="1:34" x14ac:dyDescent="0.2">
      <c r="A50" s="9" t="s">
        <v>53</v>
      </c>
      <c r="B50" s="17" t="s">
        <v>51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>
        <f t="shared" si="0"/>
        <v>0</v>
      </c>
    </row>
    <row r="51" spans="1:34" x14ac:dyDescent="0.2">
      <c r="A51" s="6">
        <v>5</v>
      </c>
      <c r="B51" s="6" t="s">
        <v>54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>
        <f t="shared" si="0"/>
        <v>0</v>
      </c>
    </row>
    <row r="52" spans="1:34" x14ac:dyDescent="0.2">
      <c r="A52" s="9" t="s">
        <v>55</v>
      </c>
      <c r="B52" s="9" t="s">
        <v>56</v>
      </c>
      <c r="C52" s="3"/>
      <c r="D52" s="3"/>
      <c r="E52" s="3"/>
      <c r="F52" s="3">
        <v>2590</v>
      </c>
      <c r="G52" s="3"/>
      <c r="H52" s="3"/>
      <c r="I52" s="3">
        <v>1600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>
        <f t="shared" si="0"/>
        <v>4190</v>
      </c>
    </row>
    <row r="53" spans="1:34" x14ac:dyDescent="0.2">
      <c r="A53" s="9" t="s">
        <v>57</v>
      </c>
      <c r="B53" s="9" t="s">
        <v>58</v>
      </c>
      <c r="C53" s="3">
        <f>64+65+70+164</f>
        <v>363</v>
      </c>
      <c r="D53" s="3">
        <f>75+73</f>
        <v>148</v>
      </c>
      <c r="E53" s="3"/>
      <c r="F53" s="3">
        <f>75+50</f>
        <v>125</v>
      </c>
      <c r="G53" s="3">
        <f>75+70+193</f>
        <v>338</v>
      </c>
      <c r="H53" s="3">
        <f>73+65</f>
        <v>138</v>
      </c>
      <c r="I53" s="3">
        <f>70+80+68</f>
        <v>218</v>
      </c>
      <c r="J53" s="3">
        <f>173+75+77</f>
        <v>325</v>
      </c>
      <c r="K53" s="3">
        <f>80+73</f>
        <v>153</v>
      </c>
      <c r="L53" s="3">
        <f>80</f>
        <v>80</v>
      </c>
      <c r="M53" s="3">
        <v>77</v>
      </c>
      <c r="N53" s="3">
        <f>72+75+73</f>
        <v>220</v>
      </c>
      <c r="O53" s="3">
        <f>71</f>
        <v>71</v>
      </c>
      <c r="P53" s="3">
        <f>75+186+50</f>
        <v>311</v>
      </c>
      <c r="Q53" s="3">
        <f>65+85</f>
        <v>150</v>
      </c>
      <c r="R53" s="3">
        <v>63</v>
      </c>
      <c r="S53" s="3"/>
      <c r="T53" s="3">
        <f>85+77+194</f>
        <v>356</v>
      </c>
      <c r="U53" s="3">
        <v>80</v>
      </c>
      <c r="V53" s="3">
        <f>70+83</f>
        <v>153</v>
      </c>
      <c r="W53" s="3">
        <f>85</f>
        <v>85</v>
      </c>
      <c r="X53" s="3">
        <f>70+81+80</f>
        <v>231</v>
      </c>
      <c r="Y53" s="3">
        <f>83+75+73</f>
        <v>231</v>
      </c>
      <c r="Z53" s="3">
        <f>30</f>
        <v>30</v>
      </c>
      <c r="AA53" s="3">
        <f>85+78</f>
        <v>163</v>
      </c>
      <c r="AB53" s="3">
        <f>69+70+193</f>
        <v>332</v>
      </c>
      <c r="AC53" s="3">
        <f>81+60</f>
        <v>141</v>
      </c>
      <c r="AD53" s="3">
        <f>74+85</f>
        <v>159</v>
      </c>
      <c r="AE53" s="3">
        <f>82+73.27</f>
        <v>155.26999999999998</v>
      </c>
      <c r="AF53" s="3">
        <f>85+60</f>
        <v>145</v>
      </c>
      <c r="AG53" s="3"/>
      <c r="AH53">
        <f>SUM(C53:AG53)</f>
        <v>5041.2700000000004</v>
      </c>
    </row>
    <row r="54" spans="1:34" x14ac:dyDescent="0.2">
      <c r="A54" s="9" t="s">
        <v>59</v>
      </c>
      <c r="B54" s="9" t="s">
        <v>60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>
        <f t="shared" ref="AH54:AH117" si="1">SUM(C54:AG54)</f>
        <v>0</v>
      </c>
    </row>
    <row r="55" spans="1:34" x14ac:dyDescent="0.2">
      <c r="A55" s="3"/>
      <c r="B55" s="3" t="s">
        <v>61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>
        <f t="shared" si="1"/>
        <v>0</v>
      </c>
    </row>
    <row r="56" spans="1:34" x14ac:dyDescent="0.2">
      <c r="A56" s="3"/>
      <c r="B56" s="3" t="s">
        <v>62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>
        <f t="shared" si="1"/>
        <v>0</v>
      </c>
    </row>
    <row r="57" spans="1:34" x14ac:dyDescent="0.2">
      <c r="A57" s="3"/>
      <c r="B57" s="3" t="s">
        <v>63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>
        <f t="shared" si="1"/>
        <v>0</v>
      </c>
    </row>
    <row r="58" spans="1:34" x14ac:dyDescent="0.2">
      <c r="A58" s="3"/>
      <c r="B58" s="3" t="s">
        <v>64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>
        <f t="shared" si="1"/>
        <v>0</v>
      </c>
    </row>
    <row r="59" spans="1:34" x14ac:dyDescent="0.2">
      <c r="A59" s="6">
        <v>6</v>
      </c>
      <c r="B59" s="6" t="s">
        <v>65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>
        <f t="shared" si="1"/>
        <v>0</v>
      </c>
    </row>
    <row r="60" spans="1:34" x14ac:dyDescent="0.2">
      <c r="A60" s="8" t="s">
        <v>99</v>
      </c>
      <c r="B60" s="3" t="s">
        <v>66</v>
      </c>
      <c r="C60" s="3"/>
      <c r="D60" s="3">
        <v>90</v>
      </c>
      <c r="E60" s="3"/>
      <c r="F60" s="3"/>
      <c r="G60" s="3"/>
      <c r="H60" s="3">
        <v>90</v>
      </c>
      <c r="I60" s="3">
        <v>60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f>30+45</f>
        <v>75</v>
      </c>
      <c r="W60" s="3"/>
      <c r="X60" s="3"/>
      <c r="Y60" s="3"/>
      <c r="Z60" s="3"/>
      <c r="AA60" s="3">
        <v>90</v>
      </c>
      <c r="AB60" s="3"/>
      <c r="AC60" s="3"/>
      <c r="AD60" s="3"/>
      <c r="AE60" s="3">
        <v>30</v>
      </c>
      <c r="AF60" s="3"/>
      <c r="AG60" s="3"/>
      <c r="AH60">
        <f t="shared" si="1"/>
        <v>435</v>
      </c>
    </row>
    <row r="61" spans="1:34" x14ac:dyDescent="0.2">
      <c r="A61" s="8" t="s">
        <v>100</v>
      </c>
      <c r="B61" s="3" t="s">
        <v>67</v>
      </c>
      <c r="C61" s="3">
        <v>250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>
        <v>250</v>
      </c>
      <c r="O61" s="3"/>
      <c r="P61" s="3"/>
      <c r="Q61" s="3"/>
      <c r="R61" s="3"/>
      <c r="S61" s="3"/>
      <c r="T61" s="3"/>
      <c r="U61" s="3"/>
      <c r="V61" s="3">
        <v>500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>
        <f t="shared" si="1"/>
        <v>1000</v>
      </c>
    </row>
    <row r="62" spans="1:34" x14ac:dyDescent="0.2">
      <c r="A62" s="6">
        <v>7</v>
      </c>
      <c r="B62" s="6" t="s">
        <v>68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>
        <f t="shared" si="1"/>
        <v>0</v>
      </c>
    </row>
    <row r="63" spans="1:34" x14ac:dyDescent="0.2">
      <c r="A63" s="8"/>
      <c r="B63" s="3" t="s">
        <v>69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>
        <f t="shared" si="1"/>
        <v>0</v>
      </c>
    </row>
    <row r="64" spans="1:34" x14ac:dyDescent="0.2">
      <c r="A64" s="5"/>
      <c r="B64" s="3" t="s">
        <v>70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>
        <f t="shared" si="1"/>
        <v>0</v>
      </c>
    </row>
    <row r="65" spans="1:34" x14ac:dyDescent="0.2">
      <c r="A65" s="5"/>
      <c r="B65" s="3" t="s">
        <v>71</v>
      </c>
      <c r="C65" s="3"/>
      <c r="D65" s="3"/>
      <c r="E65" s="3"/>
      <c r="F65" s="3"/>
      <c r="G65" s="3"/>
      <c r="H65" s="3"/>
      <c r="I65" s="3"/>
      <c r="J65" s="3"/>
      <c r="K65" s="3">
        <v>20000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>
        <f t="shared" si="1"/>
        <v>20000</v>
      </c>
    </row>
    <row r="66" spans="1:34" x14ac:dyDescent="0.2">
      <c r="A66" s="5"/>
      <c r="B66" s="3" t="s">
        <v>72</v>
      </c>
      <c r="C66" s="3">
        <v>2200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>
        <f t="shared" si="1"/>
        <v>2200</v>
      </c>
    </row>
    <row r="67" spans="1:34" x14ac:dyDescent="0.2">
      <c r="A67" s="6">
        <v>8</v>
      </c>
      <c r="B67" s="6" t="s">
        <v>73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>
        <f t="shared" si="1"/>
        <v>0</v>
      </c>
    </row>
    <row r="68" spans="1:34" x14ac:dyDescent="0.2">
      <c r="A68" s="8" t="s">
        <v>96</v>
      </c>
      <c r="B68" s="3" t="s">
        <v>74</v>
      </c>
      <c r="C68" s="3"/>
      <c r="D68" s="3"/>
      <c r="E68" s="3"/>
      <c r="F68" s="3"/>
      <c r="G68" s="3"/>
      <c r="H68" s="3">
        <v>1000</v>
      </c>
      <c r="I68" s="3"/>
      <c r="J68" s="3"/>
      <c r="K68" s="3"/>
      <c r="L68" s="3">
        <v>1000</v>
      </c>
      <c r="M68" s="3"/>
      <c r="N68" s="3">
        <v>111.5</v>
      </c>
      <c r="O68" s="3"/>
      <c r="P68" s="3"/>
      <c r="Q68" s="3">
        <v>5000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11000</v>
      </c>
      <c r="AD68" s="3"/>
      <c r="AE68" s="3"/>
      <c r="AF68" s="3"/>
      <c r="AG68" s="3"/>
      <c r="AH68">
        <f t="shared" si="1"/>
        <v>18111.5</v>
      </c>
    </row>
    <row r="69" spans="1:34" x14ac:dyDescent="0.2">
      <c r="A69" s="8" t="s">
        <v>97</v>
      </c>
      <c r="B69" s="3" t="s">
        <v>75</v>
      </c>
      <c r="C69" s="3"/>
      <c r="D69" s="3"/>
      <c r="E69" s="3"/>
      <c r="F69" s="3"/>
      <c r="G69" s="3"/>
      <c r="H69" s="3">
        <v>1200</v>
      </c>
      <c r="I69" s="3"/>
      <c r="J69" s="3"/>
      <c r="K69" s="3">
        <v>7300</v>
      </c>
      <c r="L69" s="3"/>
      <c r="M69" s="3"/>
      <c r="N69" s="3"/>
      <c r="O69" s="3"/>
      <c r="P69" s="3">
        <v>50</v>
      </c>
      <c r="Q69" s="3"/>
      <c r="R69" s="3"/>
      <c r="S69" s="3">
        <v>800</v>
      </c>
      <c r="T69" s="3"/>
      <c r="U69" s="3"/>
      <c r="V69" s="3">
        <v>1200</v>
      </c>
      <c r="W69" s="3"/>
      <c r="X69" s="3"/>
      <c r="Y69" s="3"/>
      <c r="Z69" s="3">
        <v>500</v>
      </c>
      <c r="AA69" s="3"/>
      <c r="AB69" s="3"/>
      <c r="AC69" s="3">
        <f>200+100</f>
        <v>300</v>
      </c>
      <c r="AD69" s="3"/>
      <c r="AE69" s="3"/>
      <c r="AF69" s="3"/>
      <c r="AG69" s="3"/>
      <c r="AH69">
        <f t="shared" si="1"/>
        <v>11350</v>
      </c>
    </row>
    <row r="70" spans="1:34" ht="17.5" customHeight="1" x14ac:dyDescent="0.2">
      <c r="A70" s="8" t="s">
        <v>98</v>
      </c>
      <c r="B70" s="3" t="s">
        <v>76</v>
      </c>
      <c r="C70" s="3"/>
      <c r="D70" s="3"/>
      <c r="E70" s="3"/>
      <c r="F70" s="3"/>
      <c r="G70" s="3"/>
      <c r="H70" s="3"/>
      <c r="I70" s="3">
        <v>200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f>720+500+2160</f>
        <v>3380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>
        <f t="shared" si="1"/>
        <v>3580</v>
      </c>
    </row>
    <row r="71" spans="1:34" x14ac:dyDescent="0.2">
      <c r="A71" s="6">
        <v>9</v>
      </c>
      <c r="B71" s="16" t="s">
        <v>77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>
        <f t="shared" si="1"/>
        <v>0</v>
      </c>
    </row>
    <row r="72" spans="1:34" x14ac:dyDescent="0.2">
      <c r="A72" s="9" t="s">
        <v>84</v>
      </c>
      <c r="B72" s="17" t="s">
        <v>78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>
        <f t="shared" si="1"/>
        <v>0</v>
      </c>
    </row>
    <row r="73" spans="1:34" x14ac:dyDescent="0.2">
      <c r="A73" s="9" t="s">
        <v>85</v>
      </c>
      <c r="B73" s="17" t="s">
        <v>86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>
        <f t="shared" si="1"/>
        <v>0</v>
      </c>
    </row>
    <row r="74" spans="1:34" x14ac:dyDescent="0.2">
      <c r="A74" s="12" t="s">
        <v>87</v>
      </c>
      <c r="B74" s="19" t="s">
        <v>79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>
        <f t="shared" si="1"/>
        <v>0</v>
      </c>
    </row>
    <row r="75" spans="1:34" x14ac:dyDescent="0.2">
      <c r="A75" s="3"/>
      <c r="B75" s="15" t="s">
        <v>80</v>
      </c>
      <c r="C75" s="3"/>
      <c r="D75" s="3"/>
      <c r="E75" s="3"/>
      <c r="F75" s="3"/>
      <c r="G75" s="3">
        <v>2600</v>
      </c>
      <c r="H75" s="3"/>
      <c r="I75" s="3"/>
      <c r="J75" s="3"/>
      <c r="K75" s="3">
        <v>1553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>
        <f t="shared" si="1"/>
        <v>4153</v>
      </c>
    </row>
    <row r="76" spans="1:34" x14ac:dyDescent="0.2">
      <c r="A76" s="3"/>
      <c r="B76" s="15" t="s">
        <v>81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>
        <f t="shared" si="1"/>
        <v>0</v>
      </c>
    </row>
    <row r="77" spans="1:34" x14ac:dyDescent="0.2">
      <c r="A77" s="3"/>
      <c r="B77" s="15" t="s">
        <v>82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>
        <f t="shared" si="1"/>
        <v>0</v>
      </c>
    </row>
    <row r="78" spans="1:34" x14ac:dyDescent="0.2">
      <c r="A78" s="3"/>
      <c r="B78" s="15" t="s">
        <v>83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>
        <f t="shared" si="1"/>
        <v>0</v>
      </c>
    </row>
    <row r="79" spans="1:34" x14ac:dyDescent="0.2">
      <c r="A79" s="6">
        <v>10</v>
      </c>
      <c r="B79" s="6" t="s">
        <v>88</v>
      </c>
      <c r="C79" s="3"/>
      <c r="D79" s="3">
        <f>20*3.65</f>
        <v>73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>
        <f t="shared" si="1"/>
        <v>73</v>
      </c>
    </row>
    <row r="80" spans="1:34" x14ac:dyDescent="0.2">
      <c r="A80" s="9" t="s">
        <v>95</v>
      </c>
      <c r="B80" s="3" t="s">
        <v>89</v>
      </c>
      <c r="C80" s="3">
        <v>100</v>
      </c>
      <c r="D80" s="3">
        <v>100</v>
      </c>
      <c r="E80" s="3">
        <v>50</v>
      </c>
      <c r="F80" s="3">
        <v>50</v>
      </c>
      <c r="G80" s="3">
        <v>50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6500</v>
      </c>
      <c r="AC80" s="3"/>
      <c r="AD80" s="3"/>
      <c r="AE80" s="3"/>
      <c r="AF80" s="3"/>
      <c r="AG80" s="3"/>
      <c r="AH80">
        <f t="shared" si="1"/>
        <v>6850</v>
      </c>
    </row>
    <row r="81" spans="1:34" x14ac:dyDescent="0.2">
      <c r="A81" s="3"/>
      <c r="B81" s="13" t="s">
        <v>90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>
        <f t="shared" si="1"/>
        <v>0</v>
      </c>
    </row>
    <row r="82" spans="1:34" x14ac:dyDescent="0.2">
      <c r="A82" s="3"/>
      <c r="B82" s="13" t="s">
        <v>91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>
        <f t="shared" si="1"/>
        <v>0</v>
      </c>
    </row>
    <row r="83" spans="1:34" x14ac:dyDescent="0.2">
      <c r="A83" s="3"/>
      <c r="B83" s="13" t="s">
        <v>92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>
        <f t="shared" si="1"/>
        <v>0</v>
      </c>
    </row>
    <row r="84" spans="1:34" x14ac:dyDescent="0.2">
      <c r="A84" s="3"/>
      <c r="B84" s="13" t="s">
        <v>93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>
        <f t="shared" si="1"/>
        <v>0</v>
      </c>
    </row>
    <row r="85" spans="1:34" x14ac:dyDescent="0.2">
      <c r="A85" s="3"/>
      <c r="B85" s="13" t="s">
        <v>94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>
        <f t="shared" si="1"/>
        <v>0</v>
      </c>
    </row>
    <row r="86" spans="1:34" x14ac:dyDescent="0.2">
      <c r="A86" s="6">
        <v>11</v>
      </c>
      <c r="B86" s="6" t="s">
        <v>101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>
        <v>7062</v>
      </c>
      <c r="AG86" s="3"/>
      <c r="AH86">
        <f t="shared" si="1"/>
        <v>7062</v>
      </c>
    </row>
    <row r="87" spans="1:34" x14ac:dyDescent="0.2">
      <c r="A87" s="8" t="s">
        <v>105</v>
      </c>
      <c r="B87" s="3" t="s">
        <v>103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>
        <f t="shared" si="1"/>
        <v>0</v>
      </c>
    </row>
    <row r="88" spans="1:34" x14ac:dyDescent="0.2">
      <c r="A88" s="8" t="s">
        <v>106</v>
      </c>
      <c r="B88" s="3" t="s">
        <v>104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>
        <f t="shared" si="1"/>
        <v>0</v>
      </c>
    </row>
    <row r="89" spans="1:34" x14ac:dyDescent="0.2">
      <c r="A89" s="6">
        <v>12</v>
      </c>
      <c r="B89" s="6" t="s">
        <v>102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>
        <f t="shared" si="1"/>
        <v>0</v>
      </c>
    </row>
    <row r="90" spans="1:34" x14ac:dyDescent="0.2">
      <c r="A90" s="8"/>
      <c r="B90" s="3" t="s">
        <v>107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>
        <f t="shared" si="1"/>
        <v>0</v>
      </c>
    </row>
    <row r="91" spans="1:34" x14ac:dyDescent="0.2">
      <c r="A91" s="5"/>
      <c r="B91" s="3" t="s">
        <v>108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>
        <f t="shared" si="1"/>
        <v>0</v>
      </c>
    </row>
    <row r="92" spans="1:34" x14ac:dyDescent="0.2">
      <c r="A92" s="5"/>
      <c r="B92" s="3" t="s">
        <v>109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>
        <f t="shared" si="1"/>
        <v>0</v>
      </c>
    </row>
    <row r="93" spans="1:34" x14ac:dyDescent="0.2">
      <c r="A93" s="5"/>
      <c r="B93" s="3" t="s">
        <v>110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>
        <f t="shared" si="1"/>
        <v>0</v>
      </c>
    </row>
    <row r="94" spans="1:34" x14ac:dyDescent="0.2">
      <c r="A94" s="3"/>
      <c r="B94" s="3" t="s">
        <v>111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>
        <f t="shared" si="1"/>
        <v>0</v>
      </c>
    </row>
    <row r="95" spans="1:34" x14ac:dyDescent="0.2">
      <c r="A95" s="3"/>
      <c r="B95" s="3" t="s">
        <v>112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>
        <f t="shared" si="1"/>
        <v>0</v>
      </c>
    </row>
    <row r="96" spans="1:34" x14ac:dyDescent="0.2">
      <c r="A96" s="6">
        <v>13</v>
      </c>
      <c r="B96" s="6" t="s">
        <v>113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>
        <f t="shared" si="1"/>
        <v>0</v>
      </c>
    </row>
    <row r="97" spans="1:34" x14ac:dyDescent="0.2">
      <c r="A97" s="8" t="s">
        <v>117</v>
      </c>
      <c r="B97" s="3" t="s">
        <v>114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>
        <f t="shared" si="1"/>
        <v>0</v>
      </c>
    </row>
    <row r="98" spans="1:34" x14ac:dyDescent="0.2">
      <c r="A98" s="8" t="s">
        <v>118</v>
      </c>
      <c r="B98" s="3" t="s">
        <v>116</v>
      </c>
      <c r="C98" s="3"/>
      <c r="D98" s="3">
        <v>182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>
        <f t="shared" si="1"/>
        <v>182</v>
      </c>
    </row>
    <row r="99" spans="1:34" x14ac:dyDescent="0.2">
      <c r="A99" s="8" t="s">
        <v>119</v>
      </c>
      <c r="B99" s="3" t="s">
        <v>115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>
        <f t="shared" si="1"/>
        <v>0</v>
      </c>
    </row>
    <row r="100" spans="1:34" x14ac:dyDescent="0.2">
      <c r="A100" s="6">
        <v>14</v>
      </c>
      <c r="B100" s="16" t="s">
        <v>120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>
        <f t="shared" si="1"/>
        <v>0</v>
      </c>
    </row>
    <row r="101" spans="1:34" x14ac:dyDescent="0.2">
      <c r="A101" s="9" t="s">
        <v>124</v>
      </c>
      <c r="B101" s="15" t="s">
        <v>121</v>
      </c>
      <c r="C101" s="3"/>
      <c r="D101" s="3"/>
      <c r="E101" s="3"/>
      <c r="F101" s="3"/>
      <c r="G101" s="3"/>
      <c r="H101" s="3"/>
      <c r="I101" s="3"/>
      <c r="J101" s="3"/>
      <c r="K101" s="3"/>
      <c r="L101" s="3">
        <v>764</v>
      </c>
      <c r="M101" s="3"/>
      <c r="N101" s="3"/>
      <c r="O101" s="3"/>
      <c r="P101" s="3"/>
      <c r="Q101" s="3"/>
      <c r="R101" s="3"/>
      <c r="S101" s="3"/>
      <c r="T101" s="3"/>
      <c r="U101" s="3"/>
      <c r="V101" s="3">
        <v>100</v>
      </c>
      <c r="W101" s="3">
        <f>500+290</f>
        <v>790</v>
      </c>
      <c r="X101" s="3"/>
      <c r="Y101" s="3"/>
      <c r="Z101" s="3"/>
      <c r="AA101" s="3"/>
      <c r="AB101" s="3"/>
      <c r="AC101" s="3">
        <f>100+115</f>
        <v>215</v>
      </c>
      <c r="AD101" s="3"/>
      <c r="AE101" s="3">
        <v>233.5</v>
      </c>
      <c r="AF101" s="3"/>
      <c r="AG101" s="3"/>
      <c r="AH101">
        <f t="shared" si="1"/>
        <v>2102.5</v>
      </c>
    </row>
    <row r="102" spans="1:34" x14ac:dyDescent="0.2">
      <c r="A102" s="9" t="s">
        <v>125</v>
      </c>
      <c r="B102" s="15" t="s">
        <v>123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>
        <f t="shared" si="1"/>
        <v>0</v>
      </c>
    </row>
    <row r="103" spans="1:34" x14ac:dyDescent="0.2">
      <c r="A103" s="12" t="s">
        <v>126</v>
      </c>
      <c r="B103" s="15" t="s">
        <v>122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>
        <v>750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>
        <f t="shared" si="1"/>
        <v>750</v>
      </c>
    </row>
    <row r="104" spans="1:34" x14ac:dyDescent="0.2">
      <c r="A104" s="6">
        <v>15</v>
      </c>
      <c r="B104" s="6" t="s">
        <v>127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>
        <f t="shared" si="1"/>
        <v>0</v>
      </c>
    </row>
    <row r="105" spans="1:34" x14ac:dyDescent="0.2">
      <c r="A105" s="9"/>
      <c r="B105" s="3" t="s">
        <v>128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>
        <f t="shared" si="1"/>
        <v>0</v>
      </c>
    </row>
    <row r="106" spans="1:34" x14ac:dyDescent="0.2">
      <c r="A106" s="9"/>
      <c r="B106" s="3" t="s">
        <v>129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>
        <f t="shared" si="1"/>
        <v>0</v>
      </c>
    </row>
    <row r="107" spans="1:34" x14ac:dyDescent="0.2">
      <c r="A107" s="9"/>
      <c r="B107" s="3" t="s">
        <v>130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>
        <f t="shared" si="1"/>
        <v>0</v>
      </c>
    </row>
    <row r="108" spans="1:34" x14ac:dyDescent="0.2">
      <c r="A108" s="9"/>
      <c r="B108" s="3" t="s">
        <v>131</v>
      </c>
      <c r="C108" s="3"/>
      <c r="D108" s="3"/>
      <c r="E108" s="3"/>
      <c r="F108" s="3"/>
      <c r="G108" s="3"/>
      <c r="H108" s="3"/>
      <c r="I108" s="3">
        <v>60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100</v>
      </c>
      <c r="AE108" s="3">
        <v>1000</v>
      </c>
      <c r="AF108" s="3"/>
      <c r="AG108" s="3"/>
      <c r="AH108">
        <f t="shared" si="1"/>
        <v>1160</v>
      </c>
    </row>
    <row r="109" spans="1:34" x14ac:dyDescent="0.2">
      <c r="A109" s="6">
        <v>16</v>
      </c>
      <c r="B109" s="11" t="s">
        <v>137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>
        <f t="shared" si="1"/>
        <v>0</v>
      </c>
    </row>
    <row r="110" spans="1:34" x14ac:dyDescent="0.2">
      <c r="A110" s="8"/>
      <c r="B110" s="3" t="s">
        <v>132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>
        <f t="shared" si="1"/>
        <v>0</v>
      </c>
    </row>
    <row r="111" spans="1:34" x14ac:dyDescent="0.2">
      <c r="A111" s="8"/>
      <c r="B111" s="13" t="s">
        <v>133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>
        <f t="shared" si="1"/>
        <v>0</v>
      </c>
    </row>
    <row r="112" spans="1:34" x14ac:dyDescent="0.2">
      <c r="A112" s="8"/>
      <c r="B112" s="13" t="s">
        <v>136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>
        <f t="shared" si="1"/>
        <v>0</v>
      </c>
    </row>
    <row r="113" spans="1:34" x14ac:dyDescent="0.2">
      <c r="A113" s="8"/>
      <c r="B113" s="13" t="s">
        <v>134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>
        <f t="shared" si="1"/>
        <v>0</v>
      </c>
    </row>
    <row r="114" spans="1:34" x14ac:dyDescent="0.2">
      <c r="A114" s="8"/>
      <c r="B114" s="13" t="s">
        <v>135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>
        <f t="shared" si="1"/>
        <v>0</v>
      </c>
    </row>
    <row r="115" spans="1:34" x14ac:dyDescent="0.2">
      <c r="A115" s="6">
        <v>17</v>
      </c>
      <c r="B115" s="11" t="s">
        <v>138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>
        <f t="shared" si="1"/>
        <v>0</v>
      </c>
    </row>
    <row r="116" spans="1:34" x14ac:dyDescent="0.2">
      <c r="A116" s="8"/>
      <c r="B116" s="3" t="s">
        <v>139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>
        <f t="shared" si="1"/>
        <v>0</v>
      </c>
    </row>
    <row r="117" spans="1:34" x14ac:dyDescent="0.2">
      <c r="A117" s="8"/>
      <c r="B117" s="3" t="s">
        <v>140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>
        <f t="shared" si="1"/>
        <v>0</v>
      </c>
    </row>
    <row r="118" spans="1:34" x14ac:dyDescent="0.2">
      <c r="A118" s="8"/>
      <c r="B118" s="3" t="s">
        <v>141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>
        <f t="shared" ref="AH118:AH136" si="2">SUM(C118:AG118)</f>
        <v>0</v>
      </c>
    </row>
    <row r="119" spans="1:34" x14ac:dyDescent="0.2">
      <c r="A119" s="8"/>
      <c r="B119" s="3" t="s">
        <v>142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>
        <v>3500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>
        <f t="shared" si="2"/>
        <v>3500</v>
      </c>
    </row>
    <row r="120" spans="1:34" x14ac:dyDescent="0.2">
      <c r="A120" s="9"/>
      <c r="B120" s="3" t="s">
        <v>143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>
        <f t="shared" si="2"/>
        <v>0</v>
      </c>
    </row>
    <row r="121" spans="1:34" x14ac:dyDescent="0.2">
      <c r="A121" s="9"/>
      <c r="B121" s="3" t="s">
        <v>144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>
        <f t="shared" si="2"/>
        <v>0</v>
      </c>
    </row>
    <row r="122" spans="1:34" x14ac:dyDescent="0.2">
      <c r="A122" s="9"/>
      <c r="B122" s="3" t="s">
        <v>145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>
        <v>800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>
        <f t="shared" si="2"/>
        <v>800</v>
      </c>
    </row>
    <row r="123" spans="1:34" x14ac:dyDescent="0.2">
      <c r="A123" s="6">
        <v>18</v>
      </c>
      <c r="B123" s="6" t="s">
        <v>146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>
        <f t="shared" si="2"/>
        <v>0</v>
      </c>
    </row>
    <row r="124" spans="1:34" x14ac:dyDescent="0.2">
      <c r="A124" s="8"/>
      <c r="B124" s="3" t="s">
        <v>147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>
        <f>199+25+28</f>
        <v>252</v>
      </c>
      <c r="Z124" s="3"/>
      <c r="AA124" s="3"/>
      <c r="AB124" s="3"/>
      <c r="AC124" s="3"/>
      <c r="AD124" s="3"/>
      <c r="AE124" s="3"/>
      <c r="AF124" s="3"/>
      <c r="AG124" s="3"/>
      <c r="AH124">
        <f t="shared" si="2"/>
        <v>252</v>
      </c>
    </row>
    <row r="125" spans="1:34" x14ac:dyDescent="0.2">
      <c r="A125" s="8"/>
      <c r="B125" s="3" t="s">
        <v>150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>
        <f t="shared" si="2"/>
        <v>0</v>
      </c>
    </row>
    <row r="126" spans="1:34" x14ac:dyDescent="0.2">
      <c r="A126" s="8"/>
      <c r="B126" s="3" t="s">
        <v>148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>
        <f t="shared" si="2"/>
        <v>0</v>
      </c>
    </row>
    <row r="127" spans="1:34" x14ac:dyDescent="0.2">
      <c r="A127" s="9"/>
      <c r="B127" s="3" t="s">
        <v>149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>
        <v>450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>
        <f t="shared" si="2"/>
        <v>450</v>
      </c>
    </row>
    <row r="128" spans="1:34" x14ac:dyDescent="0.2">
      <c r="A128" s="6">
        <v>19</v>
      </c>
      <c r="B128" s="16" t="s">
        <v>151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>
        <f t="shared" si="2"/>
        <v>0</v>
      </c>
    </row>
    <row r="129" spans="1:34" x14ac:dyDescent="0.2">
      <c r="A129" s="12"/>
      <c r="B129" s="15" t="s">
        <v>152</v>
      </c>
      <c r="C129" s="3"/>
      <c r="D129" s="3"/>
      <c r="E129" s="3"/>
      <c r="F129" s="3"/>
      <c r="G129" s="3"/>
      <c r="H129" s="3"/>
      <c r="I129" s="3"/>
      <c r="J129" s="3">
        <v>48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>
        <f t="shared" si="2"/>
        <v>48</v>
      </c>
    </row>
    <row r="130" spans="1:34" x14ac:dyDescent="0.2">
      <c r="A130" s="12"/>
      <c r="B130" s="3" t="s">
        <v>156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>
        <f t="shared" si="2"/>
        <v>0</v>
      </c>
    </row>
    <row r="131" spans="1:34" x14ac:dyDescent="0.2">
      <c r="A131" s="12"/>
      <c r="B131" s="3" t="s">
        <v>153</v>
      </c>
      <c r="C131" s="3">
        <v>43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>
        <v>23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>
        <f t="shared" si="2"/>
        <v>66</v>
      </c>
    </row>
    <row r="132" spans="1:34" x14ac:dyDescent="0.2">
      <c r="A132" s="12"/>
      <c r="B132" s="3" t="s">
        <v>157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>
        <f t="shared" si="2"/>
        <v>0</v>
      </c>
    </row>
    <row r="133" spans="1:34" x14ac:dyDescent="0.2">
      <c r="A133" s="12"/>
      <c r="B133" s="3" t="s">
        <v>154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>
        <f t="shared" si="2"/>
        <v>0</v>
      </c>
    </row>
    <row r="134" spans="1:34" x14ac:dyDescent="0.2">
      <c r="A134" s="12"/>
      <c r="B134" s="3" t="s">
        <v>158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>
        <f t="shared" si="2"/>
        <v>0</v>
      </c>
    </row>
    <row r="135" spans="1:34" x14ac:dyDescent="0.2">
      <c r="A135" s="12"/>
      <c r="B135" s="3" t="s">
        <v>155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>
        <f t="shared" si="2"/>
        <v>0</v>
      </c>
    </row>
    <row r="136" spans="1:34" x14ac:dyDescent="0.2">
      <c r="A136" s="12"/>
      <c r="B136" s="3" t="s">
        <v>159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>
        <f t="shared" si="2"/>
        <v>0</v>
      </c>
    </row>
    <row r="137" spans="1:34" x14ac:dyDescent="0.2">
      <c r="A137" s="36" t="s">
        <v>163</v>
      </c>
      <c r="B137" s="37"/>
      <c r="C137" s="3">
        <f t="shared" ref="C137:L137" si="3">SUM(C3:C136)</f>
        <v>6565</v>
      </c>
      <c r="D137" s="3">
        <f t="shared" si="3"/>
        <v>5172</v>
      </c>
      <c r="E137" s="3">
        <f t="shared" si="3"/>
        <v>447</v>
      </c>
      <c r="F137" s="3">
        <f t="shared" si="3"/>
        <v>8481</v>
      </c>
      <c r="G137" s="3">
        <f t="shared" si="3"/>
        <v>4188</v>
      </c>
      <c r="H137" s="3">
        <f t="shared" si="3"/>
        <v>12079</v>
      </c>
      <c r="I137" s="3">
        <f t="shared" si="3"/>
        <v>3380</v>
      </c>
      <c r="J137" s="3">
        <f t="shared" si="3"/>
        <v>1059</v>
      </c>
      <c r="K137" s="3">
        <f t="shared" si="3"/>
        <v>29842.9</v>
      </c>
      <c r="L137" s="3">
        <f t="shared" si="3"/>
        <v>1944</v>
      </c>
      <c r="M137" s="3">
        <f t="shared" ref="M137:AG137" si="4">SUM(M3:M136)</f>
        <v>6534</v>
      </c>
      <c r="N137" s="3">
        <f t="shared" si="4"/>
        <v>2250.52</v>
      </c>
      <c r="O137" s="3">
        <f t="shared" si="4"/>
        <v>598.5</v>
      </c>
      <c r="P137" s="3">
        <f t="shared" si="4"/>
        <v>2248</v>
      </c>
      <c r="Q137" s="3">
        <f t="shared" si="4"/>
        <v>5747.64</v>
      </c>
      <c r="R137" s="3">
        <f t="shared" si="4"/>
        <v>1638.01</v>
      </c>
      <c r="S137" s="3">
        <f t="shared" si="4"/>
        <v>901.5</v>
      </c>
      <c r="T137" s="3">
        <f t="shared" si="4"/>
        <v>1150.5</v>
      </c>
      <c r="U137" s="3">
        <f t="shared" si="4"/>
        <v>675.25</v>
      </c>
      <c r="V137" s="3">
        <f t="shared" si="4"/>
        <v>5456</v>
      </c>
      <c r="W137" s="3">
        <f t="shared" si="4"/>
        <v>9055.32</v>
      </c>
      <c r="X137" s="3">
        <f t="shared" si="4"/>
        <v>1916.25</v>
      </c>
      <c r="Y137" s="3">
        <f t="shared" si="4"/>
        <v>1395.55</v>
      </c>
      <c r="Z137" s="3">
        <f t="shared" si="4"/>
        <v>550</v>
      </c>
      <c r="AA137" s="3">
        <f t="shared" si="4"/>
        <v>2143.34</v>
      </c>
      <c r="AB137" s="3">
        <f t="shared" si="4"/>
        <v>7430.98</v>
      </c>
      <c r="AC137" s="3">
        <f t="shared" si="4"/>
        <v>13285</v>
      </c>
      <c r="AD137" s="3">
        <f t="shared" si="4"/>
        <v>1125.5</v>
      </c>
      <c r="AE137" s="3">
        <f t="shared" si="4"/>
        <v>4715.4699999999993</v>
      </c>
      <c r="AF137" s="3">
        <f t="shared" si="4"/>
        <v>7662.5</v>
      </c>
      <c r="AG137" s="3">
        <f t="shared" si="4"/>
        <v>55</v>
      </c>
      <c r="AH137" s="22">
        <f>SUM(C137:AG137)</f>
        <v>149692.72999999998</v>
      </c>
    </row>
  </sheetData>
  <mergeCells count="2">
    <mergeCell ref="A137:B137"/>
    <mergeCell ref="C1:AG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85"/>
  <sheetViews>
    <sheetView tabSelected="1" topLeftCell="B1" zoomScaleNormal="100" workbookViewId="0">
      <pane xSplit="7" ySplit="17" topLeftCell="Q162" activePane="bottomRight" state="frozen"/>
      <selection activeCell="B1" sqref="B1"/>
      <selection pane="topRight" activeCell="I1" sqref="I1"/>
      <selection pane="bottomLeft" activeCell="B18" sqref="B18"/>
      <selection pane="bottomRight" activeCell="G76" sqref="G76"/>
    </sheetView>
  </sheetViews>
  <sheetFormatPr baseColWidth="10" defaultColWidth="8.83203125" defaultRowHeight="15" x14ac:dyDescent="0.2"/>
  <cols>
    <col min="1" max="1" width="4.5" hidden="1" customWidth="1"/>
    <col min="2" max="2" width="42.1640625" bestFit="1" customWidth="1"/>
    <col min="3" max="33" width="12.33203125" customWidth="1"/>
  </cols>
  <sheetData>
    <row r="1" spans="1:34" ht="19" x14ac:dyDescent="0.25">
      <c r="B1" s="23">
        <f>SUM(C154:AG154)</f>
        <v>129385.29000000002</v>
      </c>
      <c r="C1" s="20">
        <v>46235</v>
      </c>
      <c r="D1" s="20">
        <v>46236</v>
      </c>
      <c r="E1" s="20">
        <v>46237</v>
      </c>
      <c r="F1" s="20">
        <v>46238</v>
      </c>
      <c r="G1" s="20">
        <v>46239</v>
      </c>
      <c r="H1" s="20">
        <v>46240</v>
      </c>
      <c r="I1" s="20">
        <v>46241</v>
      </c>
      <c r="J1" s="20">
        <v>46242</v>
      </c>
      <c r="K1" s="20">
        <v>46243</v>
      </c>
      <c r="L1" s="20">
        <v>46244</v>
      </c>
      <c r="M1" s="20">
        <v>46245</v>
      </c>
      <c r="N1" s="20">
        <v>46246</v>
      </c>
      <c r="O1" s="20">
        <v>46247</v>
      </c>
      <c r="P1" s="20">
        <v>46248</v>
      </c>
      <c r="Q1" s="20">
        <v>46249</v>
      </c>
      <c r="R1" s="20">
        <v>46250</v>
      </c>
      <c r="S1" s="20">
        <v>46251</v>
      </c>
      <c r="T1" s="20">
        <v>46252</v>
      </c>
      <c r="U1" s="20">
        <v>46253</v>
      </c>
      <c r="V1" s="20">
        <v>46254</v>
      </c>
      <c r="W1" s="20">
        <v>46255</v>
      </c>
      <c r="X1" s="20">
        <v>46256</v>
      </c>
      <c r="Y1" s="20">
        <v>46257</v>
      </c>
      <c r="Z1" s="20">
        <v>46258</v>
      </c>
      <c r="AA1" s="20">
        <v>46259</v>
      </c>
      <c r="AB1" s="20">
        <v>46260</v>
      </c>
      <c r="AC1" s="20">
        <v>46261</v>
      </c>
      <c r="AD1" s="20">
        <v>46262</v>
      </c>
      <c r="AE1" s="20">
        <v>46263</v>
      </c>
      <c r="AF1" s="20">
        <v>46264</v>
      </c>
      <c r="AG1" s="20">
        <v>46265</v>
      </c>
    </row>
    <row r="2" spans="1:34" x14ac:dyDescent="0.2">
      <c r="A2" s="5">
        <v>1</v>
      </c>
      <c r="B2" s="24" t="s">
        <v>0</v>
      </c>
      <c r="C2" s="25">
        <f>SUM(C3:C15)</f>
        <v>1382.63</v>
      </c>
      <c r="D2" s="25">
        <f t="shared" ref="D2:AG2" si="0">SUM(D3:D15)</f>
        <v>3663.54</v>
      </c>
      <c r="E2" s="25">
        <f t="shared" si="0"/>
        <v>2657.3199999999997</v>
      </c>
      <c r="F2" s="25">
        <f t="shared" si="0"/>
        <v>4816</v>
      </c>
      <c r="G2" s="25">
        <f t="shared" si="0"/>
        <v>1287.92</v>
      </c>
      <c r="H2" s="25">
        <f t="shared" si="0"/>
        <v>3450.6</v>
      </c>
      <c r="I2" s="25">
        <f t="shared" si="0"/>
        <v>34.75</v>
      </c>
      <c r="J2" s="25">
        <f t="shared" si="0"/>
        <v>938.22</v>
      </c>
      <c r="K2" s="25">
        <f t="shared" si="0"/>
        <v>549</v>
      </c>
      <c r="L2" s="25">
        <f t="shared" si="0"/>
        <v>381.28</v>
      </c>
      <c r="M2" s="25">
        <f t="shared" si="0"/>
        <v>433.3</v>
      </c>
      <c r="N2" s="25">
        <f t="shared" si="0"/>
        <v>1513.25</v>
      </c>
      <c r="O2" s="25">
        <f t="shared" si="0"/>
        <v>658.53</v>
      </c>
      <c r="P2" s="25">
        <f t="shared" si="0"/>
        <v>0</v>
      </c>
      <c r="Q2" s="25">
        <f t="shared" si="0"/>
        <v>1019.15</v>
      </c>
      <c r="R2" s="25">
        <f t="shared" si="0"/>
        <v>10</v>
      </c>
      <c r="S2" s="25">
        <f t="shared" si="0"/>
        <v>0</v>
      </c>
      <c r="T2" s="25">
        <f t="shared" si="0"/>
        <v>0</v>
      </c>
      <c r="U2" s="25">
        <f t="shared" si="0"/>
        <v>0</v>
      </c>
      <c r="V2" s="25">
        <f t="shared" si="0"/>
        <v>0</v>
      </c>
      <c r="W2" s="25">
        <f t="shared" si="0"/>
        <v>0</v>
      </c>
      <c r="X2" s="25">
        <f t="shared" si="0"/>
        <v>0</v>
      </c>
      <c r="Y2" s="25">
        <f t="shared" si="0"/>
        <v>0</v>
      </c>
      <c r="Z2" s="25">
        <f t="shared" si="0"/>
        <v>0</v>
      </c>
      <c r="AA2" s="25">
        <f t="shared" si="0"/>
        <v>0</v>
      </c>
      <c r="AB2" s="25">
        <f t="shared" si="0"/>
        <v>0</v>
      </c>
      <c r="AC2" s="25">
        <f t="shared" si="0"/>
        <v>0</v>
      </c>
      <c r="AD2" s="25">
        <f t="shared" si="0"/>
        <v>0</v>
      </c>
      <c r="AE2" s="25">
        <f t="shared" si="0"/>
        <v>0</v>
      </c>
      <c r="AF2" s="25">
        <f t="shared" si="0"/>
        <v>0</v>
      </c>
      <c r="AG2" s="25">
        <f t="shared" si="0"/>
        <v>0</v>
      </c>
      <c r="AH2">
        <f t="shared" ref="AH2:AH56" si="1">SUM(C2:AG2)</f>
        <v>22795.489999999998</v>
      </c>
    </row>
    <row r="3" spans="1:34" x14ac:dyDescent="0.2">
      <c r="A3" s="8" t="s">
        <v>14</v>
      </c>
      <c r="B3" s="9" t="s">
        <v>1</v>
      </c>
      <c r="C3" s="3">
        <f>110.68+407+99.75+30+164.85+163.35+57</f>
        <v>1032.6300000000001</v>
      </c>
      <c r="D3" s="3">
        <f>224+115+413.5+500+96+18</f>
        <v>1366.5</v>
      </c>
      <c r="E3" s="3">
        <f>32.89+443.7+20.25+9.28+2151.2</f>
        <v>2657.3199999999997</v>
      </c>
      <c r="F3" s="3">
        <f>16+30+10+760</f>
        <v>816</v>
      </c>
      <c r="G3" s="3">
        <f>5+37+450+12+506.92+96+16+31+39+95</f>
        <v>1287.92</v>
      </c>
      <c r="H3" s="3">
        <f>75+40+23+20+247.6+95+2950</f>
        <v>3450.6</v>
      </c>
      <c r="I3" s="3">
        <v>34.75</v>
      </c>
      <c r="J3" s="3">
        <f>515+35.09+20+182.13+186</f>
        <v>938.22</v>
      </c>
      <c r="K3" s="3">
        <f>68.68+35.32+30+415</f>
        <v>549</v>
      </c>
      <c r="L3" s="3">
        <f>28+25.5+95.78+48</f>
        <v>197.28</v>
      </c>
      <c r="M3" s="3">
        <f>130+76.75</f>
        <v>206.75</v>
      </c>
      <c r="N3" s="3">
        <f>46+49.25+224+120+124+950</f>
        <v>1513.25</v>
      </c>
      <c r="O3" s="3">
        <f>16.6+155.38+82.95+42.3+303.05+23.25+35</f>
        <v>658.53</v>
      </c>
      <c r="P3" s="3"/>
      <c r="Q3" s="3">
        <f>30+26.5+52.5+149.65+760.5</f>
        <v>1019.15</v>
      </c>
      <c r="R3" s="3">
        <f>10</f>
        <v>10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>
        <f t="shared" si="1"/>
        <v>15737.9</v>
      </c>
    </row>
    <row r="4" spans="1:34" x14ac:dyDescent="0.2">
      <c r="A4" s="5"/>
      <c r="B4" s="4" t="s">
        <v>2</v>
      </c>
      <c r="C4" s="3"/>
      <c r="D4" s="3">
        <f>2131.04+132</f>
        <v>2263.04</v>
      </c>
      <c r="E4" s="3"/>
      <c r="F4" s="3"/>
      <c r="G4" s="3"/>
      <c r="H4" s="3"/>
      <c r="I4" s="3"/>
      <c r="J4" s="3"/>
      <c r="K4" s="3"/>
      <c r="L4" s="3">
        <v>184</v>
      </c>
      <c r="M4" s="3">
        <v>226.55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>
        <f t="shared" si="1"/>
        <v>2673.59</v>
      </c>
    </row>
    <row r="5" spans="1:34" x14ac:dyDescent="0.2">
      <c r="A5" s="5"/>
      <c r="B5" s="4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>
        <f t="shared" si="1"/>
        <v>0</v>
      </c>
    </row>
    <row r="6" spans="1:34" x14ac:dyDescent="0.2">
      <c r="A6" s="5"/>
      <c r="B6" s="4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>
        <f t="shared" si="1"/>
        <v>0</v>
      </c>
    </row>
    <row r="7" spans="1:34" x14ac:dyDescent="0.2">
      <c r="A7" s="5"/>
      <c r="B7" s="4" t="s">
        <v>5</v>
      </c>
      <c r="C7" s="3"/>
      <c r="D7" s="3">
        <v>34</v>
      </c>
      <c r="E7" s="3"/>
      <c r="F7" s="3">
        <v>4000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>
        <f t="shared" si="1"/>
        <v>4034</v>
      </c>
    </row>
    <row r="8" spans="1:34" x14ac:dyDescent="0.2">
      <c r="A8" s="5"/>
      <c r="B8" s="4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>
        <f t="shared" si="1"/>
        <v>0</v>
      </c>
    </row>
    <row r="9" spans="1:34" x14ac:dyDescent="0.2">
      <c r="A9" s="5"/>
      <c r="B9" s="4" t="s">
        <v>7</v>
      </c>
      <c r="C9" s="3">
        <v>350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>
        <f t="shared" si="1"/>
        <v>350</v>
      </c>
    </row>
    <row r="10" spans="1:34" x14ac:dyDescent="0.2">
      <c r="A10" s="5"/>
      <c r="B10" s="4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>
        <f t="shared" si="1"/>
        <v>0</v>
      </c>
    </row>
    <row r="11" spans="1:34" x14ac:dyDescent="0.2">
      <c r="A11" s="8" t="s">
        <v>15</v>
      </c>
      <c r="B11" s="9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>
        <f t="shared" si="1"/>
        <v>0</v>
      </c>
    </row>
    <row r="12" spans="1:34" x14ac:dyDescent="0.2">
      <c r="A12" s="5"/>
      <c r="B12" s="4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>
        <f t="shared" si="1"/>
        <v>0</v>
      </c>
    </row>
    <row r="13" spans="1:34" x14ac:dyDescent="0.2">
      <c r="A13" s="5"/>
      <c r="B13" s="4" t="s">
        <v>11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>
        <f t="shared" si="1"/>
        <v>0</v>
      </c>
    </row>
    <row r="14" spans="1:34" x14ac:dyDescent="0.2">
      <c r="A14" s="5"/>
      <c r="B14" s="4" t="s">
        <v>12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>
        <f t="shared" si="1"/>
        <v>0</v>
      </c>
    </row>
    <row r="15" spans="1:34" x14ac:dyDescent="0.2">
      <c r="A15" s="5"/>
      <c r="B15" s="4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>
        <f t="shared" si="1"/>
        <v>0</v>
      </c>
    </row>
    <row r="16" spans="1:34" x14ac:dyDescent="0.2">
      <c r="A16" s="5"/>
      <c r="B16" s="24"/>
      <c r="C16" s="25">
        <f>SUM(C17:C30)</f>
        <v>0</v>
      </c>
      <c r="D16" s="25">
        <f t="shared" ref="D16:AG16" si="2">SUM(D17:D30)</f>
        <v>0</v>
      </c>
      <c r="E16" s="25">
        <f t="shared" si="2"/>
        <v>0</v>
      </c>
      <c r="F16" s="25">
        <f>SUM(F17:F30)</f>
        <v>6028</v>
      </c>
      <c r="G16" s="25">
        <f t="shared" si="2"/>
        <v>0</v>
      </c>
      <c r="H16" s="25">
        <f t="shared" si="2"/>
        <v>0</v>
      </c>
      <c r="I16" s="25">
        <f t="shared" si="2"/>
        <v>0</v>
      </c>
      <c r="J16" s="25">
        <f t="shared" si="2"/>
        <v>0</v>
      </c>
      <c r="K16" s="25">
        <f t="shared" si="2"/>
        <v>416</v>
      </c>
      <c r="L16" s="25">
        <f t="shared" si="2"/>
        <v>394</v>
      </c>
      <c r="M16" s="25">
        <f t="shared" si="2"/>
        <v>0</v>
      </c>
      <c r="N16" s="25">
        <f t="shared" si="2"/>
        <v>110</v>
      </c>
      <c r="O16" s="25">
        <f t="shared" si="2"/>
        <v>0</v>
      </c>
      <c r="P16" s="25">
        <f t="shared" si="2"/>
        <v>90</v>
      </c>
      <c r="Q16" s="25">
        <f t="shared" si="2"/>
        <v>120</v>
      </c>
      <c r="R16" s="25">
        <f t="shared" si="2"/>
        <v>0</v>
      </c>
      <c r="S16" s="25">
        <f t="shared" si="2"/>
        <v>0</v>
      </c>
      <c r="T16" s="25">
        <f t="shared" si="2"/>
        <v>0</v>
      </c>
      <c r="U16" s="25">
        <f t="shared" si="2"/>
        <v>0</v>
      </c>
      <c r="V16" s="25">
        <f t="shared" si="2"/>
        <v>0</v>
      </c>
      <c r="W16" s="25">
        <f t="shared" si="2"/>
        <v>0</v>
      </c>
      <c r="X16" s="25">
        <f t="shared" si="2"/>
        <v>0</v>
      </c>
      <c r="Y16" s="25">
        <f t="shared" si="2"/>
        <v>0</v>
      </c>
      <c r="Z16" s="25">
        <f t="shared" si="2"/>
        <v>0</v>
      </c>
      <c r="AA16" s="25">
        <f t="shared" si="2"/>
        <v>0</v>
      </c>
      <c r="AB16" s="25">
        <f t="shared" si="2"/>
        <v>0</v>
      </c>
      <c r="AC16" s="25">
        <f t="shared" si="2"/>
        <v>0</v>
      </c>
      <c r="AD16" s="25">
        <f t="shared" si="2"/>
        <v>0</v>
      </c>
      <c r="AE16" s="25">
        <f t="shared" si="2"/>
        <v>0</v>
      </c>
      <c r="AF16" s="25">
        <f t="shared" si="2"/>
        <v>0</v>
      </c>
      <c r="AG16" s="25">
        <f t="shared" si="2"/>
        <v>0</v>
      </c>
      <c r="AH16">
        <f t="shared" si="1"/>
        <v>7158</v>
      </c>
    </row>
    <row r="17" spans="1:34" x14ac:dyDescent="0.2">
      <c r="A17" s="6">
        <v>2</v>
      </c>
      <c r="B17" s="6" t="s">
        <v>16</v>
      </c>
      <c r="C17" s="3"/>
      <c r="D17" s="3"/>
      <c r="E17" s="3"/>
      <c r="F17" s="3">
        <f>1398+5+4625</f>
        <v>6028</v>
      </c>
      <c r="G17" s="3"/>
      <c r="H17" s="3"/>
      <c r="I17" s="3"/>
      <c r="J17" s="3"/>
      <c r="K17" s="3">
        <f>145+230+41</f>
        <v>416</v>
      </c>
      <c r="L17" s="3">
        <f>50+185+138+21</f>
        <v>394</v>
      </c>
      <c r="M17" s="3"/>
      <c r="N17" s="3">
        <v>110</v>
      </c>
      <c r="O17" s="3"/>
      <c r="P17" s="3">
        <v>90</v>
      </c>
      <c r="Q17" s="3">
        <f>100+20</f>
        <v>120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>
        <f t="shared" si="1"/>
        <v>7158</v>
      </c>
    </row>
    <row r="18" spans="1:34" x14ac:dyDescent="0.2">
      <c r="A18" s="8" t="s">
        <v>31</v>
      </c>
      <c r="B18" s="3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>
        <f t="shared" si="1"/>
        <v>0</v>
      </c>
    </row>
    <row r="19" spans="1:34" x14ac:dyDescent="0.2">
      <c r="A19" s="5"/>
      <c r="B19" s="3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>
        <f t="shared" si="1"/>
        <v>0</v>
      </c>
    </row>
    <row r="20" spans="1:34" x14ac:dyDescent="0.2">
      <c r="A20" s="5"/>
      <c r="B20" s="3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>
        <f t="shared" si="1"/>
        <v>0</v>
      </c>
    </row>
    <row r="21" spans="1:34" x14ac:dyDescent="0.2">
      <c r="A21" s="5"/>
      <c r="B21" s="3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>
        <f t="shared" si="1"/>
        <v>0</v>
      </c>
    </row>
    <row r="22" spans="1:34" x14ac:dyDescent="0.2">
      <c r="A22" s="5"/>
      <c r="B22" s="3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>
        <f t="shared" si="1"/>
        <v>0</v>
      </c>
    </row>
    <row r="23" spans="1:34" x14ac:dyDescent="0.2">
      <c r="A23" s="5"/>
      <c r="B23" s="3" t="s">
        <v>21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>
        <f t="shared" si="1"/>
        <v>0</v>
      </c>
    </row>
    <row r="24" spans="1:34" x14ac:dyDescent="0.2">
      <c r="A24" s="8" t="s">
        <v>30</v>
      </c>
      <c r="B24" s="3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>
        <f t="shared" si="1"/>
        <v>0</v>
      </c>
    </row>
    <row r="25" spans="1:34" x14ac:dyDescent="0.2">
      <c r="A25" s="5"/>
      <c r="B25" s="3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>
        <f t="shared" si="1"/>
        <v>0</v>
      </c>
    </row>
    <row r="26" spans="1:34" x14ac:dyDescent="0.2">
      <c r="A26" s="5"/>
      <c r="B26" s="3" t="s"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>
        <f t="shared" si="1"/>
        <v>0</v>
      </c>
    </row>
    <row r="27" spans="1:34" x14ac:dyDescent="0.2">
      <c r="A27" s="5"/>
      <c r="B27" s="3" t="s">
        <v>26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>
        <f t="shared" si="1"/>
        <v>0</v>
      </c>
    </row>
    <row r="28" spans="1:34" x14ac:dyDescent="0.2">
      <c r="A28" s="5"/>
      <c r="B28" s="3" t="s">
        <v>27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>
        <f t="shared" si="1"/>
        <v>0</v>
      </c>
    </row>
    <row r="29" spans="1:34" x14ac:dyDescent="0.2">
      <c r="A29" s="3"/>
      <c r="B29" s="3" t="s">
        <v>28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>
        <f t="shared" si="1"/>
        <v>0</v>
      </c>
    </row>
    <row r="30" spans="1:34" x14ac:dyDescent="0.2">
      <c r="A30" s="3"/>
      <c r="B30" s="3" t="s">
        <v>29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>
        <f t="shared" si="1"/>
        <v>0</v>
      </c>
    </row>
    <row r="31" spans="1:34" x14ac:dyDescent="0.2">
      <c r="A31" s="5"/>
      <c r="B31" s="24"/>
      <c r="C31" s="25">
        <f>SUM(C32:C40)</f>
        <v>0</v>
      </c>
      <c r="D31" s="25">
        <f t="shared" ref="D31:AG31" si="3">SUM(D32:D40)</f>
        <v>0</v>
      </c>
      <c r="E31" s="25">
        <f t="shared" si="3"/>
        <v>0</v>
      </c>
      <c r="F31" s="25">
        <f t="shared" si="3"/>
        <v>800</v>
      </c>
      <c r="G31" s="25">
        <f t="shared" si="3"/>
        <v>0</v>
      </c>
      <c r="H31" s="25">
        <f t="shared" si="3"/>
        <v>0</v>
      </c>
      <c r="I31" s="25">
        <f t="shared" si="3"/>
        <v>0</v>
      </c>
      <c r="J31" s="25">
        <f t="shared" si="3"/>
        <v>0</v>
      </c>
      <c r="K31" s="25">
        <f t="shared" si="3"/>
        <v>465</v>
      </c>
      <c r="L31" s="25">
        <f t="shared" si="3"/>
        <v>0</v>
      </c>
      <c r="M31" s="25">
        <f t="shared" si="3"/>
        <v>0</v>
      </c>
      <c r="N31" s="25">
        <f t="shared" si="3"/>
        <v>0</v>
      </c>
      <c r="O31" s="25">
        <f t="shared" si="3"/>
        <v>32</v>
      </c>
      <c r="P31" s="25">
        <f t="shared" si="3"/>
        <v>0</v>
      </c>
      <c r="Q31" s="25">
        <f t="shared" si="3"/>
        <v>0</v>
      </c>
      <c r="R31" s="25">
        <f t="shared" si="3"/>
        <v>0</v>
      </c>
      <c r="S31" s="25">
        <f t="shared" si="3"/>
        <v>0</v>
      </c>
      <c r="T31" s="25">
        <f t="shared" si="3"/>
        <v>0</v>
      </c>
      <c r="U31" s="25">
        <f t="shared" si="3"/>
        <v>0</v>
      </c>
      <c r="V31" s="25">
        <f t="shared" si="3"/>
        <v>0</v>
      </c>
      <c r="W31" s="25">
        <f t="shared" si="3"/>
        <v>0</v>
      </c>
      <c r="X31" s="25">
        <f t="shared" si="3"/>
        <v>0</v>
      </c>
      <c r="Y31" s="25">
        <f t="shared" si="3"/>
        <v>0</v>
      </c>
      <c r="Z31" s="25">
        <f t="shared" si="3"/>
        <v>0</v>
      </c>
      <c r="AA31" s="25">
        <f t="shared" si="3"/>
        <v>0</v>
      </c>
      <c r="AB31" s="25">
        <f t="shared" si="3"/>
        <v>0</v>
      </c>
      <c r="AC31" s="25">
        <f t="shared" si="3"/>
        <v>0</v>
      </c>
      <c r="AD31" s="25">
        <f t="shared" si="3"/>
        <v>0</v>
      </c>
      <c r="AE31" s="25">
        <f t="shared" si="3"/>
        <v>0</v>
      </c>
      <c r="AF31" s="25">
        <f t="shared" si="3"/>
        <v>0</v>
      </c>
      <c r="AG31" s="25">
        <f t="shared" si="3"/>
        <v>0</v>
      </c>
      <c r="AH31">
        <f t="shared" si="1"/>
        <v>1297</v>
      </c>
    </row>
    <row r="32" spans="1:34" x14ac:dyDescent="0.2">
      <c r="A32" s="6">
        <v>3</v>
      </c>
      <c r="B32" s="6" t="s">
        <v>32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>
        <f t="shared" si="1"/>
        <v>0</v>
      </c>
    </row>
    <row r="33" spans="1:34" x14ac:dyDescent="0.2">
      <c r="A33" s="8" t="s">
        <v>47</v>
      </c>
      <c r="B33" s="3" t="s">
        <v>33</v>
      </c>
      <c r="C33" s="3"/>
      <c r="D33" s="3"/>
      <c r="E33" s="3"/>
      <c r="F33" s="3">
        <v>800</v>
      </c>
      <c r="G33" s="3"/>
      <c r="H33" s="3"/>
      <c r="I33" s="3"/>
      <c r="J33" s="3"/>
      <c r="K33" s="3"/>
      <c r="L33" s="3"/>
      <c r="M33" s="3"/>
      <c r="N33" s="3"/>
      <c r="O33" s="3">
        <f>7+25</f>
        <v>32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>
        <f t="shared" si="1"/>
        <v>832</v>
      </c>
    </row>
    <row r="34" spans="1:34" x14ac:dyDescent="0.2">
      <c r="A34" s="5"/>
      <c r="B34" s="3" t="s">
        <v>34</v>
      </c>
      <c r="C34" s="3"/>
      <c r="D34" s="3"/>
      <c r="E34" s="3"/>
      <c r="F34" s="3"/>
      <c r="G34" s="3"/>
      <c r="H34" s="3"/>
      <c r="I34" s="3"/>
      <c r="J34" s="3"/>
      <c r="K34" s="3">
        <v>465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>
        <f t="shared" si="1"/>
        <v>465</v>
      </c>
    </row>
    <row r="35" spans="1:34" x14ac:dyDescent="0.2">
      <c r="A35" s="5"/>
      <c r="B35" s="3" t="s">
        <v>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>
        <f t="shared" si="1"/>
        <v>0</v>
      </c>
    </row>
    <row r="36" spans="1:34" x14ac:dyDescent="0.2">
      <c r="A36" s="5"/>
      <c r="B36" s="3" t="s">
        <v>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>
        <f t="shared" si="1"/>
        <v>0</v>
      </c>
    </row>
    <row r="37" spans="1:34" x14ac:dyDescent="0.2">
      <c r="A37" s="5"/>
      <c r="B37" s="3" t="s">
        <v>160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>
        <f t="shared" si="1"/>
        <v>0</v>
      </c>
    </row>
    <row r="38" spans="1:34" x14ac:dyDescent="0.2">
      <c r="A38" s="5"/>
      <c r="B38" s="3" t="s"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>
        <f t="shared" si="1"/>
        <v>0</v>
      </c>
    </row>
    <row r="39" spans="1:34" x14ac:dyDescent="0.2">
      <c r="A39" s="5"/>
      <c r="B39" s="4" t="s">
        <v>161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>
        <f t="shared" si="1"/>
        <v>0</v>
      </c>
    </row>
    <row r="40" spans="1:34" x14ac:dyDescent="0.2">
      <c r="A40" s="5"/>
      <c r="B40" s="4" t="s">
        <v>162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>
        <f t="shared" si="1"/>
        <v>0</v>
      </c>
    </row>
    <row r="41" spans="1:34" x14ac:dyDescent="0.2">
      <c r="A41" s="5"/>
      <c r="B41" s="24"/>
      <c r="C41" s="25">
        <f>SUM(C42:C53)</f>
        <v>25</v>
      </c>
      <c r="D41" s="25">
        <f t="shared" ref="D41:AG41" si="4">SUM(D42:D53)</f>
        <v>0</v>
      </c>
      <c r="E41" s="25">
        <f t="shared" si="4"/>
        <v>0</v>
      </c>
      <c r="F41" s="25">
        <f t="shared" si="4"/>
        <v>0</v>
      </c>
      <c r="G41" s="25">
        <f t="shared" si="4"/>
        <v>0</v>
      </c>
      <c r="H41" s="25">
        <f t="shared" si="4"/>
        <v>0</v>
      </c>
      <c r="I41" s="25">
        <f t="shared" si="4"/>
        <v>0</v>
      </c>
      <c r="J41" s="25">
        <f t="shared" si="4"/>
        <v>0</v>
      </c>
      <c r="K41" s="25">
        <f t="shared" si="4"/>
        <v>0</v>
      </c>
      <c r="L41" s="25">
        <f t="shared" si="4"/>
        <v>0</v>
      </c>
      <c r="M41" s="25">
        <f t="shared" si="4"/>
        <v>0</v>
      </c>
      <c r="N41" s="25">
        <f t="shared" si="4"/>
        <v>950</v>
      </c>
      <c r="O41" s="25">
        <f t="shared" si="4"/>
        <v>0</v>
      </c>
      <c r="P41" s="25">
        <f t="shared" si="4"/>
        <v>0</v>
      </c>
      <c r="Q41" s="25">
        <f t="shared" si="4"/>
        <v>430</v>
      </c>
      <c r="R41" s="25">
        <f t="shared" si="4"/>
        <v>0</v>
      </c>
      <c r="S41" s="25">
        <f t="shared" si="4"/>
        <v>0</v>
      </c>
      <c r="T41" s="25">
        <f t="shared" si="4"/>
        <v>0</v>
      </c>
      <c r="U41" s="25">
        <f t="shared" si="4"/>
        <v>0</v>
      </c>
      <c r="V41" s="25">
        <f t="shared" si="4"/>
        <v>0</v>
      </c>
      <c r="W41" s="25">
        <f t="shared" si="4"/>
        <v>0</v>
      </c>
      <c r="X41" s="25">
        <f t="shared" si="4"/>
        <v>0</v>
      </c>
      <c r="Y41" s="25">
        <f t="shared" si="4"/>
        <v>0</v>
      </c>
      <c r="Z41" s="25">
        <f t="shared" si="4"/>
        <v>0</v>
      </c>
      <c r="AA41" s="25">
        <f t="shared" si="4"/>
        <v>0</v>
      </c>
      <c r="AB41" s="25">
        <f t="shared" si="4"/>
        <v>0</v>
      </c>
      <c r="AC41" s="25">
        <f t="shared" si="4"/>
        <v>0</v>
      </c>
      <c r="AD41" s="25">
        <f t="shared" si="4"/>
        <v>0</v>
      </c>
      <c r="AE41" s="25">
        <f t="shared" si="4"/>
        <v>0</v>
      </c>
      <c r="AF41" s="25">
        <f t="shared" si="4"/>
        <v>0</v>
      </c>
      <c r="AG41" s="25">
        <f t="shared" si="4"/>
        <v>0</v>
      </c>
      <c r="AH41">
        <f t="shared" si="1"/>
        <v>1405</v>
      </c>
    </row>
    <row r="42" spans="1:34" x14ac:dyDescent="0.2">
      <c r="A42" s="6">
        <v>4</v>
      </c>
      <c r="B42" s="16" t="s">
        <v>38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>
        <f t="shared" si="1"/>
        <v>0</v>
      </c>
    </row>
    <row r="43" spans="1:34" x14ac:dyDescent="0.2">
      <c r="A43" s="9" t="s">
        <v>48</v>
      </c>
      <c r="B43" s="17" t="s">
        <v>49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>
        <f>650+300</f>
        <v>950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>
        <f t="shared" si="1"/>
        <v>950</v>
      </c>
    </row>
    <row r="44" spans="1:34" x14ac:dyDescent="0.2">
      <c r="A44" s="3"/>
      <c r="B44" s="15" t="s">
        <v>39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>
        <f t="shared" si="1"/>
        <v>0</v>
      </c>
    </row>
    <row r="45" spans="1:34" x14ac:dyDescent="0.2">
      <c r="A45" s="3"/>
      <c r="B45" s="15" t="s">
        <v>40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v>430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>
        <f t="shared" si="1"/>
        <v>430</v>
      </c>
    </row>
    <row r="46" spans="1:34" x14ac:dyDescent="0.2">
      <c r="A46" s="3"/>
      <c r="B46" s="15" t="s">
        <v>41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>
        <f t="shared" si="1"/>
        <v>0</v>
      </c>
    </row>
    <row r="47" spans="1:34" x14ac:dyDescent="0.2">
      <c r="A47" s="3"/>
      <c r="B47" s="15" t="s">
        <v>42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>
        <f t="shared" si="1"/>
        <v>0</v>
      </c>
    </row>
    <row r="48" spans="1:34" x14ac:dyDescent="0.2">
      <c r="A48" s="3"/>
      <c r="B48" s="15" t="s">
        <v>43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>
        <f t="shared" si="1"/>
        <v>0</v>
      </c>
    </row>
    <row r="49" spans="1:34" x14ac:dyDescent="0.2">
      <c r="A49" s="3"/>
      <c r="B49" s="15" t="s">
        <v>44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>
        <f t="shared" si="1"/>
        <v>0</v>
      </c>
    </row>
    <row r="50" spans="1:34" x14ac:dyDescent="0.2">
      <c r="A50" s="3"/>
      <c r="B50" s="15" t="s">
        <v>45</v>
      </c>
      <c r="C50" s="3">
        <v>25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>
        <f t="shared" si="1"/>
        <v>25</v>
      </c>
    </row>
    <row r="51" spans="1:34" x14ac:dyDescent="0.2">
      <c r="A51" s="3"/>
      <c r="B51" s="15" t="s">
        <v>46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>
        <f t="shared" si="1"/>
        <v>0</v>
      </c>
    </row>
    <row r="52" spans="1:34" x14ac:dyDescent="0.2">
      <c r="A52" s="9" t="s">
        <v>52</v>
      </c>
      <c r="B52" s="17" t="s">
        <v>50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>
        <f t="shared" si="1"/>
        <v>0</v>
      </c>
    </row>
    <row r="53" spans="1:34" x14ac:dyDescent="0.2">
      <c r="A53" s="9" t="s">
        <v>53</v>
      </c>
      <c r="B53" s="17" t="s">
        <v>51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>
        <f t="shared" si="1"/>
        <v>0</v>
      </c>
    </row>
    <row r="54" spans="1:34" x14ac:dyDescent="0.2">
      <c r="A54" s="5"/>
      <c r="B54" s="24"/>
      <c r="C54" s="25">
        <f>SUM(C55:C62)</f>
        <v>130</v>
      </c>
      <c r="D54" s="25">
        <f t="shared" ref="D54:AG54" si="5">SUM(D55:D62)</f>
        <v>216</v>
      </c>
      <c r="E54" s="25">
        <f t="shared" si="5"/>
        <v>81</v>
      </c>
      <c r="F54" s="25">
        <f t="shared" si="5"/>
        <v>354</v>
      </c>
      <c r="G54" s="25">
        <f t="shared" si="5"/>
        <v>2812</v>
      </c>
      <c r="H54" s="25">
        <f t="shared" si="5"/>
        <v>80</v>
      </c>
      <c r="I54" s="25">
        <f t="shared" si="5"/>
        <v>71</v>
      </c>
      <c r="J54" s="25">
        <f t="shared" si="5"/>
        <v>1670</v>
      </c>
      <c r="K54" s="25">
        <f t="shared" si="5"/>
        <v>154</v>
      </c>
      <c r="L54" s="25">
        <f t="shared" si="5"/>
        <v>350.43</v>
      </c>
      <c r="M54" s="25">
        <f t="shared" si="5"/>
        <v>150</v>
      </c>
      <c r="N54" s="25">
        <f t="shared" si="5"/>
        <v>223</v>
      </c>
      <c r="O54" s="25">
        <f t="shared" si="5"/>
        <v>80</v>
      </c>
      <c r="P54" s="25">
        <f t="shared" si="5"/>
        <v>0</v>
      </c>
      <c r="Q54" s="25">
        <f t="shared" si="5"/>
        <v>161.01</v>
      </c>
      <c r="R54" s="25">
        <f t="shared" si="5"/>
        <v>340.09000000000003</v>
      </c>
      <c r="S54" s="25">
        <f t="shared" si="5"/>
        <v>0</v>
      </c>
      <c r="T54" s="25">
        <f t="shared" si="5"/>
        <v>0</v>
      </c>
      <c r="U54" s="25">
        <f t="shared" si="5"/>
        <v>0</v>
      </c>
      <c r="V54" s="25">
        <f t="shared" si="5"/>
        <v>0</v>
      </c>
      <c r="W54" s="25">
        <f t="shared" si="5"/>
        <v>0</v>
      </c>
      <c r="X54" s="25">
        <f t="shared" si="5"/>
        <v>0</v>
      </c>
      <c r="Y54" s="25">
        <f t="shared" si="5"/>
        <v>0</v>
      </c>
      <c r="Z54" s="25">
        <f t="shared" si="5"/>
        <v>0</v>
      </c>
      <c r="AA54" s="25">
        <f t="shared" si="5"/>
        <v>0</v>
      </c>
      <c r="AB54" s="25">
        <f t="shared" si="5"/>
        <v>0</v>
      </c>
      <c r="AC54" s="25">
        <f t="shared" si="5"/>
        <v>0</v>
      </c>
      <c r="AD54" s="25">
        <f t="shared" si="5"/>
        <v>0</v>
      </c>
      <c r="AE54" s="25">
        <f t="shared" si="5"/>
        <v>0</v>
      </c>
      <c r="AF54" s="25">
        <f t="shared" si="5"/>
        <v>0</v>
      </c>
      <c r="AG54" s="25">
        <f t="shared" si="5"/>
        <v>0</v>
      </c>
      <c r="AH54">
        <f t="shared" si="1"/>
        <v>6872.5300000000007</v>
      </c>
    </row>
    <row r="55" spans="1:34" x14ac:dyDescent="0.2">
      <c r="A55" s="6">
        <v>5</v>
      </c>
      <c r="B55" s="6" t="s">
        <v>54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>
        <f t="shared" si="1"/>
        <v>0</v>
      </c>
    </row>
    <row r="56" spans="1:34" x14ac:dyDescent="0.2">
      <c r="A56" s="9" t="s">
        <v>55</v>
      </c>
      <c r="B56" s="9" t="s">
        <v>56</v>
      </c>
      <c r="C56" s="3"/>
      <c r="D56" s="3"/>
      <c r="E56" s="3"/>
      <c r="F56" s="3"/>
      <c r="G56" s="3">
        <v>2590</v>
      </c>
      <c r="H56" s="3"/>
      <c r="I56" s="3"/>
      <c r="J56" s="3">
        <v>1600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>
        <f t="shared" si="1"/>
        <v>4190</v>
      </c>
    </row>
    <row r="57" spans="1:34" x14ac:dyDescent="0.2">
      <c r="A57" s="9" t="s">
        <v>57</v>
      </c>
      <c r="B57" s="9" t="s">
        <v>58</v>
      </c>
      <c r="C57" s="3">
        <f>80+50</f>
        <v>130</v>
      </c>
      <c r="D57" s="3">
        <f>75+69+72</f>
        <v>216</v>
      </c>
      <c r="E57" s="3">
        <f>81</f>
        <v>81</v>
      </c>
      <c r="F57" s="3">
        <f>204+70+80</f>
        <v>354</v>
      </c>
      <c r="G57" s="3">
        <f>77+75+70</f>
        <v>222</v>
      </c>
      <c r="H57" s="3">
        <v>80</v>
      </c>
      <c r="I57" s="3">
        <v>71</v>
      </c>
      <c r="J57" s="3">
        <v>70</v>
      </c>
      <c r="K57" s="3">
        <f>75+79</f>
        <v>154</v>
      </c>
      <c r="L57" s="3">
        <f>90.42+187.01+73</f>
        <v>350.43</v>
      </c>
      <c r="M57" s="3">
        <f>74+76</f>
        <v>150</v>
      </c>
      <c r="N57" s="3">
        <f>68+70+85</f>
        <v>223</v>
      </c>
      <c r="O57" s="3">
        <v>80</v>
      </c>
      <c r="P57" s="3"/>
      <c r="Q57" s="3">
        <f>74+87.01</f>
        <v>161.01</v>
      </c>
      <c r="R57" s="3">
        <f>190.09+65+85</f>
        <v>340.09000000000003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>
        <f>SUM(C57:AG57)</f>
        <v>2682.5300000000007</v>
      </c>
    </row>
    <row r="58" spans="1:34" x14ac:dyDescent="0.2">
      <c r="A58" s="9" t="s">
        <v>59</v>
      </c>
      <c r="B58" s="9" t="s">
        <v>60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>
        <f t="shared" ref="AH58:AH132" si="6">SUM(C58:AG58)</f>
        <v>0</v>
      </c>
    </row>
    <row r="59" spans="1:34" x14ac:dyDescent="0.2">
      <c r="A59" s="3"/>
      <c r="B59" s="3" t="s">
        <v>61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>
        <f t="shared" si="6"/>
        <v>0</v>
      </c>
    </row>
    <row r="60" spans="1:34" x14ac:dyDescent="0.2">
      <c r="A60" s="3"/>
      <c r="B60" s="3" t="s">
        <v>62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>
        <f t="shared" si="6"/>
        <v>0</v>
      </c>
    </row>
    <row r="61" spans="1:34" x14ac:dyDescent="0.2">
      <c r="A61" s="3"/>
      <c r="B61" s="3" t="s">
        <v>63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>
        <f t="shared" si="6"/>
        <v>0</v>
      </c>
    </row>
    <row r="62" spans="1:34" x14ac:dyDescent="0.2">
      <c r="A62" s="3"/>
      <c r="B62" s="3" t="s">
        <v>64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>
        <f t="shared" si="6"/>
        <v>0</v>
      </c>
    </row>
    <row r="63" spans="1:34" x14ac:dyDescent="0.2">
      <c r="A63" s="5"/>
      <c r="B63" s="24"/>
      <c r="C63" s="25">
        <f>SUM(C64:C66)</f>
        <v>250</v>
      </c>
      <c r="D63" s="25">
        <f t="shared" ref="D63:AG63" si="7">SUM(D64:D66)</f>
        <v>75</v>
      </c>
      <c r="E63" s="25">
        <f t="shared" si="7"/>
        <v>0</v>
      </c>
      <c r="F63" s="25">
        <f t="shared" si="7"/>
        <v>0</v>
      </c>
      <c r="G63" s="25">
        <f t="shared" si="7"/>
        <v>0</v>
      </c>
      <c r="H63" s="25">
        <f t="shared" si="7"/>
        <v>0</v>
      </c>
      <c r="I63" s="25">
        <f t="shared" si="7"/>
        <v>0</v>
      </c>
      <c r="J63" s="25">
        <f t="shared" si="7"/>
        <v>75</v>
      </c>
      <c r="K63" s="25">
        <f t="shared" si="7"/>
        <v>0</v>
      </c>
      <c r="L63" s="25">
        <f t="shared" si="7"/>
        <v>0</v>
      </c>
      <c r="M63" s="25">
        <f t="shared" si="7"/>
        <v>750</v>
      </c>
      <c r="N63" s="25">
        <f t="shared" si="7"/>
        <v>45</v>
      </c>
      <c r="O63" s="25">
        <f t="shared" si="7"/>
        <v>0</v>
      </c>
      <c r="P63" s="25">
        <f t="shared" si="7"/>
        <v>0</v>
      </c>
      <c r="Q63" s="25">
        <f t="shared" si="7"/>
        <v>0</v>
      </c>
      <c r="R63" s="25">
        <f t="shared" si="7"/>
        <v>45</v>
      </c>
      <c r="S63" s="25">
        <f t="shared" si="7"/>
        <v>0</v>
      </c>
      <c r="T63" s="25">
        <f t="shared" si="7"/>
        <v>0</v>
      </c>
      <c r="U63" s="25">
        <f t="shared" si="7"/>
        <v>0</v>
      </c>
      <c r="V63" s="25">
        <f t="shared" si="7"/>
        <v>0</v>
      </c>
      <c r="W63" s="25">
        <f t="shared" si="7"/>
        <v>0</v>
      </c>
      <c r="X63" s="25">
        <f t="shared" si="7"/>
        <v>0</v>
      </c>
      <c r="Y63" s="25">
        <f t="shared" si="7"/>
        <v>0</v>
      </c>
      <c r="Z63" s="25">
        <f t="shared" si="7"/>
        <v>0</v>
      </c>
      <c r="AA63" s="25">
        <f t="shared" si="7"/>
        <v>0</v>
      </c>
      <c r="AB63" s="25">
        <f t="shared" si="7"/>
        <v>0</v>
      </c>
      <c r="AC63" s="25">
        <f t="shared" si="7"/>
        <v>0</v>
      </c>
      <c r="AD63" s="25">
        <f t="shared" si="7"/>
        <v>0</v>
      </c>
      <c r="AE63" s="25">
        <f t="shared" si="7"/>
        <v>0</v>
      </c>
      <c r="AF63" s="25">
        <f t="shared" si="7"/>
        <v>0</v>
      </c>
      <c r="AG63" s="25">
        <f t="shared" si="7"/>
        <v>0</v>
      </c>
      <c r="AH63">
        <f t="shared" si="6"/>
        <v>1240</v>
      </c>
    </row>
    <row r="64" spans="1:34" x14ac:dyDescent="0.2">
      <c r="A64" s="6">
        <v>6</v>
      </c>
      <c r="B64" s="6" t="s">
        <v>65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>
        <f t="shared" si="6"/>
        <v>0</v>
      </c>
    </row>
    <row r="65" spans="1:34" x14ac:dyDescent="0.2">
      <c r="A65" s="8" t="s">
        <v>99</v>
      </c>
      <c r="B65" s="3" t="s">
        <v>66</v>
      </c>
      <c r="C65" s="3"/>
      <c r="D65" s="3">
        <v>75</v>
      </c>
      <c r="E65" s="3"/>
      <c r="F65" s="3"/>
      <c r="G65" s="3"/>
      <c r="H65" s="3"/>
      <c r="I65" s="3"/>
      <c r="J65" s="3">
        <v>75</v>
      </c>
      <c r="K65" s="3"/>
      <c r="L65" s="3"/>
      <c r="M65" s="3"/>
      <c r="N65" s="3">
        <v>45</v>
      </c>
      <c r="O65" s="3"/>
      <c r="P65" s="3"/>
      <c r="Q65" s="3"/>
      <c r="R65" s="3">
        <v>45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>
        <f t="shared" si="6"/>
        <v>240</v>
      </c>
    </row>
    <row r="66" spans="1:34" x14ac:dyDescent="0.2">
      <c r="A66" s="8" t="s">
        <v>100</v>
      </c>
      <c r="B66" s="3" t="s">
        <v>67</v>
      </c>
      <c r="C66" s="3">
        <v>250</v>
      </c>
      <c r="D66" s="3"/>
      <c r="E66" s="3"/>
      <c r="F66" s="3"/>
      <c r="G66" s="3"/>
      <c r="H66" s="3"/>
      <c r="I66" s="3"/>
      <c r="J66" s="3"/>
      <c r="K66" s="3"/>
      <c r="L66" s="3"/>
      <c r="M66" s="3">
        <v>750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>
        <f t="shared" si="6"/>
        <v>1000</v>
      </c>
    </row>
    <row r="67" spans="1:34" x14ac:dyDescent="0.2">
      <c r="A67" s="5"/>
      <c r="B67" s="24"/>
      <c r="C67" s="25">
        <f>SUM(C68:C72)</f>
        <v>0</v>
      </c>
      <c r="D67" s="25">
        <f t="shared" ref="D67:AG67" si="8">SUM(D68:D72)</f>
        <v>0</v>
      </c>
      <c r="E67" s="25">
        <f t="shared" si="8"/>
        <v>0</v>
      </c>
      <c r="F67" s="25">
        <f t="shared" si="8"/>
        <v>0</v>
      </c>
      <c r="G67" s="25">
        <f t="shared" si="8"/>
        <v>2200</v>
      </c>
      <c r="H67" s="25">
        <f t="shared" si="8"/>
        <v>0</v>
      </c>
      <c r="I67" s="25">
        <f t="shared" si="8"/>
        <v>0</v>
      </c>
      <c r="J67" s="25">
        <f t="shared" si="8"/>
        <v>0</v>
      </c>
      <c r="K67" s="25">
        <f t="shared" si="8"/>
        <v>0</v>
      </c>
      <c r="L67" s="25">
        <f t="shared" si="8"/>
        <v>0</v>
      </c>
      <c r="M67" s="25">
        <f t="shared" si="8"/>
        <v>0</v>
      </c>
      <c r="N67" s="25">
        <f t="shared" si="8"/>
        <v>10000</v>
      </c>
      <c r="O67" s="25">
        <f t="shared" si="8"/>
        <v>0</v>
      </c>
      <c r="P67" s="25">
        <f t="shared" si="8"/>
        <v>0</v>
      </c>
      <c r="Q67" s="25">
        <f t="shared" si="8"/>
        <v>0</v>
      </c>
      <c r="R67" s="25">
        <f t="shared" si="8"/>
        <v>0</v>
      </c>
      <c r="S67" s="25">
        <f t="shared" si="8"/>
        <v>0</v>
      </c>
      <c r="T67" s="25">
        <f t="shared" si="8"/>
        <v>0</v>
      </c>
      <c r="U67" s="25">
        <f t="shared" si="8"/>
        <v>0</v>
      </c>
      <c r="V67" s="25">
        <f t="shared" si="8"/>
        <v>0</v>
      </c>
      <c r="W67" s="25">
        <f t="shared" si="8"/>
        <v>0</v>
      </c>
      <c r="X67" s="25">
        <f t="shared" si="8"/>
        <v>0</v>
      </c>
      <c r="Y67" s="25">
        <f t="shared" si="8"/>
        <v>0</v>
      </c>
      <c r="Z67" s="25">
        <f t="shared" si="8"/>
        <v>0</v>
      </c>
      <c r="AA67" s="25">
        <f t="shared" si="8"/>
        <v>0</v>
      </c>
      <c r="AB67" s="25">
        <f t="shared" si="8"/>
        <v>0</v>
      </c>
      <c r="AC67" s="25">
        <f t="shared" si="8"/>
        <v>0</v>
      </c>
      <c r="AD67" s="25">
        <f t="shared" si="8"/>
        <v>0</v>
      </c>
      <c r="AE67" s="25">
        <f t="shared" si="8"/>
        <v>0</v>
      </c>
      <c r="AF67" s="25">
        <f t="shared" si="8"/>
        <v>0</v>
      </c>
      <c r="AG67" s="25">
        <f t="shared" si="8"/>
        <v>0</v>
      </c>
      <c r="AH67">
        <f t="shared" si="6"/>
        <v>12200</v>
      </c>
    </row>
    <row r="68" spans="1:34" x14ac:dyDescent="0.2">
      <c r="A68" s="6">
        <v>7</v>
      </c>
      <c r="B68" s="6" t="s">
        <v>68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>
        <f t="shared" si="6"/>
        <v>0</v>
      </c>
    </row>
    <row r="69" spans="1:34" x14ac:dyDescent="0.2">
      <c r="A69" s="8"/>
      <c r="B69" s="3" t="s">
        <v>69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>
        <v>10000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>
        <f t="shared" si="6"/>
        <v>10000</v>
      </c>
    </row>
    <row r="70" spans="1:34" x14ac:dyDescent="0.2">
      <c r="A70" s="5"/>
      <c r="B70" s="3" t="s">
        <v>70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>
        <f t="shared" si="6"/>
        <v>0</v>
      </c>
    </row>
    <row r="71" spans="1:34" x14ac:dyDescent="0.2">
      <c r="A71" s="5"/>
      <c r="B71" s="3" t="s">
        <v>71</v>
      </c>
      <c r="C71" s="3"/>
      <c r="D71" s="3"/>
      <c r="E71" s="3"/>
      <c r="F71" s="3"/>
      <c r="G71" s="3">
        <v>2200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>
        <f t="shared" si="6"/>
        <v>2200</v>
      </c>
    </row>
    <row r="72" spans="1:34" x14ac:dyDescent="0.2">
      <c r="A72" s="5"/>
      <c r="B72" s="3" t="s">
        <v>72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>
        <f t="shared" si="6"/>
        <v>0</v>
      </c>
    </row>
    <row r="73" spans="1:34" x14ac:dyDescent="0.2">
      <c r="A73" s="5"/>
      <c r="B73" s="24"/>
      <c r="C73" s="25">
        <f>SUM(C74:C85)</f>
        <v>200</v>
      </c>
      <c r="D73" s="25">
        <f t="shared" ref="D73:AG73" si="9">SUM(D74:D85)</f>
        <v>700</v>
      </c>
      <c r="E73" s="25">
        <f t="shared" si="9"/>
        <v>0</v>
      </c>
      <c r="F73" s="25">
        <f t="shared" si="9"/>
        <v>6000</v>
      </c>
      <c r="G73" s="25">
        <f t="shared" si="9"/>
        <v>40335</v>
      </c>
      <c r="H73" s="25">
        <f t="shared" si="9"/>
        <v>4750</v>
      </c>
      <c r="I73" s="25">
        <f t="shared" si="9"/>
        <v>0</v>
      </c>
      <c r="J73" s="25">
        <f t="shared" si="9"/>
        <v>250</v>
      </c>
      <c r="K73" s="25">
        <f t="shared" si="9"/>
        <v>0</v>
      </c>
      <c r="L73" s="25">
        <f t="shared" si="9"/>
        <v>0</v>
      </c>
      <c r="M73" s="25">
        <f t="shared" si="9"/>
        <v>2500</v>
      </c>
      <c r="N73" s="25">
        <f t="shared" si="9"/>
        <v>12700</v>
      </c>
      <c r="O73" s="25">
        <f t="shared" si="9"/>
        <v>0</v>
      </c>
      <c r="P73" s="25">
        <f t="shared" si="9"/>
        <v>0</v>
      </c>
      <c r="Q73" s="25">
        <f t="shared" si="9"/>
        <v>1500</v>
      </c>
      <c r="R73" s="25">
        <f t="shared" si="9"/>
        <v>0</v>
      </c>
      <c r="S73" s="25">
        <f t="shared" si="9"/>
        <v>0</v>
      </c>
      <c r="T73" s="25">
        <f t="shared" si="9"/>
        <v>0</v>
      </c>
      <c r="U73" s="25">
        <f t="shared" si="9"/>
        <v>0</v>
      </c>
      <c r="V73" s="25">
        <f t="shared" si="9"/>
        <v>0</v>
      </c>
      <c r="W73" s="25">
        <f t="shared" si="9"/>
        <v>0</v>
      </c>
      <c r="X73" s="25">
        <f t="shared" si="9"/>
        <v>0</v>
      </c>
      <c r="Y73" s="25">
        <f t="shared" si="9"/>
        <v>0</v>
      </c>
      <c r="Z73" s="25">
        <f t="shared" si="9"/>
        <v>0</v>
      </c>
      <c r="AA73" s="25">
        <f t="shared" si="9"/>
        <v>0</v>
      </c>
      <c r="AB73" s="25">
        <f t="shared" si="9"/>
        <v>0</v>
      </c>
      <c r="AC73" s="25">
        <f t="shared" si="9"/>
        <v>0</v>
      </c>
      <c r="AD73" s="25">
        <f t="shared" si="9"/>
        <v>0</v>
      </c>
      <c r="AE73" s="25">
        <f t="shared" si="9"/>
        <v>0</v>
      </c>
      <c r="AF73" s="25">
        <f t="shared" si="9"/>
        <v>0</v>
      </c>
      <c r="AG73" s="25">
        <f t="shared" si="9"/>
        <v>0</v>
      </c>
      <c r="AH73">
        <f t="shared" si="6"/>
        <v>68935</v>
      </c>
    </row>
    <row r="74" spans="1:34" x14ac:dyDescent="0.2">
      <c r="A74" s="6">
        <v>8</v>
      </c>
      <c r="B74" s="6" t="s">
        <v>73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>
        <v>4000</v>
      </c>
      <c r="O74" s="3"/>
      <c r="P74" s="3"/>
      <c r="Q74" s="3">
        <v>1500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>
        <f t="shared" si="6"/>
        <v>5500</v>
      </c>
    </row>
    <row r="75" spans="1:34" x14ac:dyDescent="0.2">
      <c r="A75" s="8" t="s">
        <v>96</v>
      </c>
      <c r="B75" s="3" t="s">
        <v>74</v>
      </c>
      <c r="C75" s="3"/>
      <c r="D75" s="3"/>
      <c r="E75" s="3"/>
      <c r="F75" s="3">
        <v>6000</v>
      </c>
      <c r="G75" s="3">
        <v>20000</v>
      </c>
      <c r="H75" s="3">
        <v>2750</v>
      </c>
      <c r="I75" s="3"/>
      <c r="J75" s="3"/>
      <c r="K75" s="3"/>
      <c r="L75" s="3"/>
      <c r="M75" s="3">
        <v>2500</v>
      </c>
      <c r="N75" s="3">
        <f>2600+6000+100</f>
        <v>8700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>
        <f t="shared" si="6"/>
        <v>39950</v>
      </c>
    </row>
    <row r="76" spans="1:34" x14ac:dyDescent="0.2">
      <c r="A76" s="8" t="s">
        <v>97</v>
      </c>
      <c r="B76" s="3" t="s">
        <v>75</v>
      </c>
      <c r="C76" s="3">
        <f>200</f>
        <v>200</v>
      </c>
      <c r="D76" s="3">
        <v>700</v>
      </c>
      <c r="E76" s="3"/>
      <c r="F76" s="3"/>
      <c r="G76" s="3">
        <f>1450+1450+2780+3500+1400+2650+1750+1400+1400+2555</f>
        <v>20335</v>
      </c>
      <c r="H76" s="3">
        <v>2000</v>
      </c>
      <c r="I76" s="3"/>
      <c r="J76" s="3">
        <v>250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>
        <f t="shared" si="6"/>
        <v>23485</v>
      </c>
    </row>
    <row r="77" spans="1:34" ht="17.5" customHeight="1" x14ac:dyDescent="0.2">
      <c r="A77" s="8" t="s">
        <v>98</v>
      </c>
      <c r="B77" s="3" t="s">
        <v>76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>
        <f t="shared" si="6"/>
        <v>0</v>
      </c>
    </row>
    <row r="78" spans="1:34" x14ac:dyDescent="0.2">
      <c r="A78" s="6">
        <v>9</v>
      </c>
      <c r="B78" s="16" t="s">
        <v>77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>
        <f t="shared" si="6"/>
        <v>0</v>
      </c>
    </row>
    <row r="79" spans="1:34" x14ac:dyDescent="0.2">
      <c r="A79" s="9" t="s">
        <v>84</v>
      </c>
      <c r="B79" s="17" t="s">
        <v>78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>
        <f t="shared" si="6"/>
        <v>0</v>
      </c>
    </row>
    <row r="80" spans="1:34" x14ac:dyDescent="0.2">
      <c r="A80" s="9" t="s">
        <v>85</v>
      </c>
      <c r="B80" s="17" t="s">
        <v>86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>
        <f t="shared" si="6"/>
        <v>0</v>
      </c>
    </row>
    <row r="81" spans="1:34" x14ac:dyDescent="0.2">
      <c r="A81" s="12" t="s">
        <v>87</v>
      </c>
      <c r="B81" s="19" t="s">
        <v>79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>
        <f t="shared" si="6"/>
        <v>0</v>
      </c>
    </row>
    <row r="82" spans="1:34" x14ac:dyDescent="0.2">
      <c r="A82" s="3"/>
      <c r="B82" s="15" t="s">
        <v>80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>
        <f t="shared" si="6"/>
        <v>0</v>
      </c>
    </row>
    <row r="83" spans="1:34" x14ac:dyDescent="0.2">
      <c r="A83" s="3"/>
      <c r="B83" s="15" t="s">
        <v>81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>
        <f t="shared" si="6"/>
        <v>0</v>
      </c>
    </row>
    <row r="84" spans="1:34" x14ac:dyDescent="0.2">
      <c r="A84" s="3"/>
      <c r="B84" s="15" t="s">
        <v>82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>
        <f t="shared" si="6"/>
        <v>0</v>
      </c>
    </row>
    <row r="85" spans="1:34" x14ac:dyDescent="0.2">
      <c r="A85" s="3"/>
      <c r="B85" s="15" t="s">
        <v>83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>
        <f t="shared" si="6"/>
        <v>0</v>
      </c>
    </row>
    <row r="86" spans="1:34" x14ac:dyDescent="0.2">
      <c r="A86" s="5"/>
      <c r="B86" s="24"/>
      <c r="C86" s="25">
        <f>SUM(C87:C93)</f>
        <v>0</v>
      </c>
      <c r="D86" s="25">
        <f t="shared" ref="D86:AG86" si="10">SUM(D87:D93)</f>
        <v>0</v>
      </c>
      <c r="E86" s="25">
        <f t="shared" si="10"/>
        <v>0</v>
      </c>
      <c r="F86" s="25">
        <f t="shared" si="10"/>
        <v>0</v>
      </c>
      <c r="G86" s="25">
        <f t="shared" si="10"/>
        <v>0</v>
      </c>
      <c r="H86" s="25">
        <f t="shared" si="10"/>
        <v>0</v>
      </c>
      <c r="I86" s="25">
        <f t="shared" si="10"/>
        <v>0</v>
      </c>
      <c r="J86" s="25">
        <f t="shared" si="10"/>
        <v>0</v>
      </c>
      <c r="K86" s="25">
        <f t="shared" si="10"/>
        <v>0</v>
      </c>
      <c r="L86" s="25">
        <f t="shared" si="10"/>
        <v>0</v>
      </c>
      <c r="M86" s="25">
        <f t="shared" si="10"/>
        <v>1116.56</v>
      </c>
      <c r="N86" s="25">
        <f t="shared" si="10"/>
        <v>0</v>
      </c>
      <c r="O86" s="25">
        <f t="shared" si="10"/>
        <v>0</v>
      </c>
      <c r="P86" s="25">
        <f t="shared" si="10"/>
        <v>0</v>
      </c>
      <c r="Q86" s="25">
        <f t="shared" si="10"/>
        <v>0</v>
      </c>
      <c r="R86" s="25">
        <f t="shared" si="10"/>
        <v>0</v>
      </c>
      <c r="S86" s="25">
        <f t="shared" si="10"/>
        <v>0</v>
      </c>
      <c r="T86" s="25">
        <f t="shared" si="10"/>
        <v>0</v>
      </c>
      <c r="U86" s="25">
        <f t="shared" si="10"/>
        <v>0</v>
      </c>
      <c r="V86" s="25">
        <f t="shared" si="10"/>
        <v>0</v>
      </c>
      <c r="W86" s="25">
        <f t="shared" si="10"/>
        <v>0</v>
      </c>
      <c r="X86" s="25">
        <f t="shared" si="10"/>
        <v>0</v>
      </c>
      <c r="Y86" s="25">
        <f t="shared" si="10"/>
        <v>0</v>
      </c>
      <c r="Z86" s="25">
        <f t="shared" si="10"/>
        <v>0</v>
      </c>
      <c r="AA86" s="25">
        <f t="shared" si="10"/>
        <v>0</v>
      </c>
      <c r="AB86" s="25">
        <f t="shared" si="10"/>
        <v>0</v>
      </c>
      <c r="AC86" s="25">
        <f t="shared" si="10"/>
        <v>0</v>
      </c>
      <c r="AD86" s="25">
        <f t="shared" si="10"/>
        <v>0</v>
      </c>
      <c r="AE86" s="25">
        <f t="shared" si="10"/>
        <v>0</v>
      </c>
      <c r="AF86" s="25">
        <f t="shared" si="10"/>
        <v>0</v>
      </c>
      <c r="AG86" s="25">
        <f t="shared" si="10"/>
        <v>0</v>
      </c>
      <c r="AH86">
        <f t="shared" si="6"/>
        <v>1116.56</v>
      </c>
    </row>
    <row r="87" spans="1:34" x14ac:dyDescent="0.2">
      <c r="A87" s="6">
        <v>10</v>
      </c>
      <c r="B87" s="6" t="s">
        <v>88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>
        <f t="shared" si="6"/>
        <v>0</v>
      </c>
    </row>
    <row r="88" spans="1:34" x14ac:dyDescent="0.2">
      <c r="A88" s="9" t="s">
        <v>95</v>
      </c>
      <c r="B88" s="3" t="s">
        <v>89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>
        <f t="shared" si="6"/>
        <v>0</v>
      </c>
    </row>
    <row r="89" spans="1:34" x14ac:dyDescent="0.2">
      <c r="A89" s="3"/>
      <c r="B89" s="13" t="s">
        <v>90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>
        <f t="shared" si="6"/>
        <v>0</v>
      </c>
    </row>
    <row r="90" spans="1:34" x14ac:dyDescent="0.2">
      <c r="A90" s="3"/>
      <c r="B90" s="13" t="s">
        <v>91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>
        <v>1116.56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>
        <f t="shared" si="6"/>
        <v>1116.56</v>
      </c>
    </row>
    <row r="91" spans="1:34" x14ac:dyDescent="0.2">
      <c r="A91" s="3"/>
      <c r="B91" s="13" t="s">
        <v>92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>
        <f t="shared" si="6"/>
        <v>0</v>
      </c>
    </row>
    <row r="92" spans="1:34" x14ac:dyDescent="0.2">
      <c r="A92" s="3"/>
      <c r="B92" s="13" t="s">
        <v>93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>
        <f t="shared" si="6"/>
        <v>0</v>
      </c>
    </row>
    <row r="93" spans="1:34" x14ac:dyDescent="0.2">
      <c r="A93" s="3"/>
      <c r="B93" s="13" t="s">
        <v>94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>
        <f t="shared" si="6"/>
        <v>0</v>
      </c>
    </row>
    <row r="94" spans="1:34" x14ac:dyDescent="0.2">
      <c r="A94" s="5"/>
      <c r="B94" s="24"/>
      <c r="C94" s="25">
        <f>SUM(C95:C97)</f>
        <v>0</v>
      </c>
      <c r="D94" s="25">
        <f t="shared" ref="D94:AG94" si="11">SUM(D95:D97)</f>
        <v>0</v>
      </c>
      <c r="E94" s="25">
        <f t="shared" si="11"/>
        <v>0</v>
      </c>
      <c r="F94" s="25">
        <f t="shared" si="11"/>
        <v>0</v>
      </c>
      <c r="G94" s="25">
        <f t="shared" si="11"/>
        <v>0</v>
      </c>
      <c r="H94" s="25">
        <f t="shared" si="11"/>
        <v>0</v>
      </c>
      <c r="I94" s="25">
        <f t="shared" si="11"/>
        <v>0</v>
      </c>
      <c r="J94" s="25">
        <f t="shared" si="11"/>
        <v>0</v>
      </c>
      <c r="K94" s="25">
        <f t="shared" si="11"/>
        <v>0</v>
      </c>
      <c r="L94" s="25">
        <f t="shared" si="11"/>
        <v>0</v>
      </c>
      <c r="M94" s="25">
        <f t="shared" si="11"/>
        <v>0</v>
      </c>
      <c r="N94" s="25">
        <f t="shared" si="11"/>
        <v>0</v>
      </c>
      <c r="O94" s="25">
        <f t="shared" si="11"/>
        <v>0</v>
      </c>
      <c r="P94" s="25">
        <f t="shared" si="11"/>
        <v>0</v>
      </c>
      <c r="Q94" s="25">
        <f t="shared" si="11"/>
        <v>0</v>
      </c>
      <c r="R94" s="25">
        <f t="shared" si="11"/>
        <v>0</v>
      </c>
      <c r="S94" s="25">
        <f t="shared" si="11"/>
        <v>0</v>
      </c>
      <c r="T94" s="25">
        <f t="shared" si="11"/>
        <v>0</v>
      </c>
      <c r="U94" s="25">
        <f t="shared" si="11"/>
        <v>0</v>
      </c>
      <c r="V94" s="25">
        <f t="shared" si="11"/>
        <v>0</v>
      </c>
      <c r="W94" s="25">
        <f t="shared" si="11"/>
        <v>0</v>
      </c>
      <c r="X94" s="25">
        <f t="shared" si="11"/>
        <v>0</v>
      </c>
      <c r="Y94" s="25">
        <f t="shared" si="11"/>
        <v>0</v>
      </c>
      <c r="Z94" s="25">
        <f t="shared" si="11"/>
        <v>0</v>
      </c>
      <c r="AA94" s="25">
        <f t="shared" si="11"/>
        <v>0</v>
      </c>
      <c r="AB94" s="25">
        <f t="shared" si="11"/>
        <v>0</v>
      </c>
      <c r="AC94" s="25">
        <f t="shared" si="11"/>
        <v>0</v>
      </c>
      <c r="AD94" s="25">
        <f t="shared" si="11"/>
        <v>0</v>
      </c>
      <c r="AE94" s="25">
        <f t="shared" si="11"/>
        <v>0</v>
      </c>
      <c r="AF94" s="25">
        <f t="shared" si="11"/>
        <v>0</v>
      </c>
      <c r="AG94" s="25">
        <f t="shared" si="11"/>
        <v>0</v>
      </c>
      <c r="AH94">
        <f t="shared" si="6"/>
        <v>0</v>
      </c>
    </row>
    <row r="95" spans="1:34" x14ac:dyDescent="0.2">
      <c r="A95" s="6">
        <v>11</v>
      </c>
      <c r="B95" s="6" t="s">
        <v>101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>
        <f t="shared" si="6"/>
        <v>0</v>
      </c>
    </row>
    <row r="96" spans="1:34" x14ac:dyDescent="0.2">
      <c r="A96" s="8" t="s">
        <v>105</v>
      </c>
      <c r="B96" s="3" t="s">
        <v>103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>
        <f t="shared" si="6"/>
        <v>0</v>
      </c>
    </row>
    <row r="97" spans="1:34" x14ac:dyDescent="0.2">
      <c r="A97" s="8" t="s">
        <v>106</v>
      </c>
      <c r="B97" s="3" t="s">
        <v>104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>
        <f t="shared" si="6"/>
        <v>0</v>
      </c>
    </row>
    <row r="98" spans="1:34" x14ac:dyDescent="0.2">
      <c r="A98" s="5"/>
      <c r="B98" s="24"/>
      <c r="C98" s="25">
        <f>SUM(C99:C105)</f>
        <v>0</v>
      </c>
      <c r="D98" s="25">
        <f t="shared" ref="D98:AG98" si="12">SUM(D99:D105)</f>
        <v>0</v>
      </c>
      <c r="E98" s="25">
        <f t="shared" si="12"/>
        <v>0</v>
      </c>
      <c r="F98" s="25">
        <f t="shared" si="12"/>
        <v>0</v>
      </c>
      <c r="G98" s="25">
        <f t="shared" si="12"/>
        <v>0</v>
      </c>
      <c r="H98" s="25">
        <f t="shared" si="12"/>
        <v>0</v>
      </c>
      <c r="I98" s="25">
        <f t="shared" si="12"/>
        <v>0</v>
      </c>
      <c r="J98" s="25">
        <f t="shared" si="12"/>
        <v>0</v>
      </c>
      <c r="K98" s="25">
        <f t="shared" si="12"/>
        <v>0</v>
      </c>
      <c r="L98" s="25">
        <f t="shared" si="12"/>
        <v>0</v>
      </c>
      <c r="M98" s="25">
        <f t="shared" si="12"/>
        <v>0</v>
      </c>
      <c r="N98" s="25">
        <f t="shared" si="12"/>
        <v>20</v>
      </c>
      <c r="O98" s="25">
        <f t="shared" si="12"/>
        <v>105.21</v>
      </c>
      <c r="P98" s="25">
        <f t="shared" si="12"/>
        <v>0</v>
      </c>
      <c r="Q98" s="25">
        <f t="shared" si="12"/>
        <v>0</v>
      </c>
      <c r="R98" s="25">
        <f t="shared" si="12"/>
        <v>0</v>
      </c>
      <c r="S98" s="25">
        <f t="shared" si="12"/>
        <v>0</v>
      </c>
      <c r="T98" s="25">
        <f t="shared" si="12"/>
        <v>0</v>
      </c>
      <c r="U98" s="25">
        <f t="shared" si="12"/>
        <v>0</v>
      </c>
      <c r="V98" s="25">
        <f t="shared" si="12"/>
        <v>0</v>
      </c>
      <c r="W98" s="25">
        <f t="shared" si="12"/>
        <v>0</v>
      </c>
      <c r="X98" s="25">
        <f t="shared" si="12"/>
        <v>0</v>
      </c>
      <c r="Y98" s="25">
        <f t="shared" si="12"/>
        <v>0</v>
      </c>
      <c r="Z98" s="25">
        <f t="shared" si="12"/>
        <v>0</v>
      </c>
      <c r="AA98" s="25">
        <f t="shared" si="12"/>
        <v>0</v>
      </c>
      <c r="AB98" s="25">
        <f t="shared" si="12"/>
        <v>0</v>
      </c>
      <c r="AC98" s="25">
        <f t="shared" si="12"/>
        <v>0</v>
      </c>
      <c r="AD98" s="25">
        <f t="shared" si="12"/>
        <v>0</v>
      </c>
      <c r="AE98" s="25">
        <f t="shared" si="12"/>
        <v>0</v>
      </c>
      <c r="AF98" s="25">
        <f t="shared" si="12"/>
        <v>0</v>
      </c>
      <c r="AG98" s="25">
        <f t="shared" si="12"/>
        <v>0</v>
      </c>
      <c r="AH98">
        <f t="shared" si="6"/>
        <v>125.21</v>
      </c>
    </row>
    <row r="99" spans="1:34" x14ac:dyDescent="0.2">
      <c r="A99" s="6">
        <v>12</v>
      </c>
      <c r="B99" s="6" t="s">
        <v>102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>
        <v>20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>
        <f t="shared" si="6"/>
        <v>20</v>
      </c>
    </row>
    <row r="100" spans="1:34" x14ac:dyDescent="0.2">
      <c r="A100" s="8"/>
      <c r="B100" s="3" t="s">
        <v>107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>
        <f t="shared" si="6"/>
        <v>0</v>
      </c>
    </row>
    <row r="101" spans="1:34" x14ac:dyDescent="0.2">
      <c r="A101" s="5"/>
      <c r="B101" s="3" t="s">
        <v>108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>
        <f t="shared" si="6"/>
        <v>0</v>
      </c>
    </row>
    <row r="102" spans="1:34" x14ac:dyDescent="0.2">
      <c r="A102" s="5"/>
      <c r="B102" s="3" t="s">
        <v>109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>
        <f>99.21+6</f>
        <v>105.21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>
        <f t="shared" si="6"/>
        <v>105.21</v>
      </c>
    </row>
    <row r="103" spans="1:34" x14ac:dyDescent="0.2">
      <c r="A103" s="5"/>
      <c r="B103" s="3" t="s">
        <v>110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>
        <f t="shared" si="6"/>
        <v>0</v>
      </c>
    </row>
    <row r="104" spans="1:34" x14ac:dyDescent="0.2">
      <c r="A104" s="3"/>
      <c r="B104" s="3" t="s">
        <v>111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>
        <f t="shared" si="6"/>
        <v>0</v>
      </c>
    </row>
    <row r="105" spans="1:34" x14ac:dyDescent="0.2">
      <c r="A105" s="3"/>
      <c r="B105" s="3" t="s">
        <v>112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>
        <f t="shared" si="6"/>
        <v>0</v>
      </c>
    </row>
    <row r="106" spans="1:34" x14ac:dyDescent="0.2">
      <c r="A106" s="3"/>
      <c r="B106" s="24"/>
      <c r="C106" s="25">
        <f>SUM(C107:C110)</f>
        <v>0</v>
      </c>
      <c r="D106" s="25">
        <f t="shared" ref="D106:AG106" si="13">SUM(D107:D110)</f>
        <v>229</v>
      </c>
      <c r="E106" s="25">
        <f t="shared" si="13"/>
        <v>0</v>
      </c>
      <c r="F106" s="25">
        <f t="shared" si="13"/>
        <v>0</v>
      </c>
      <c r="G106" s="25">
        <f t="shared" si="13"/>
        <v>0</v>
      </c>
      <c r="H106" s="25">
        <f t="shared" si="13"/>
        <v>0</v>
      </c>
      <c r="I106" s="25">
        <f t="shared" si="13"/>
        <v>0</v>
      </c>
      <c r="J106" s="25">
        <f t="shared" si="13"/>
        <v>0</v>
      </c>
      <c r="K106" s="25">
        <f t="shared" si="13"/>
        <v>0</v>
      </c>
      <c r="L106" s="25">
        <f t="shared" si="13"/>
        <v>0</v>
      </c>
      <c r="M106" s="25">
        <f t="shared" si="13"/>
        <v>0</v>
      </c>
      <c r="N106" s="25">
        <f t="shared" si="13"/>
        <v>0</v>
      </c>
      <c r="O106" s="25">
        <f t="shared" si="13"/>
        <v>0</v>
      </c>
      <c r="P106" s="25">
        <f t="shared" si="13"/>
        <v>0</v>
      </c>
      <c r="Q106" s="25">
        <f t="shared" si="13"/>
        <v>0</v>
      </c>
      <c r="R106" s="25">
        <f t="shared" si="13"/>
        <v>0</v>
      </c>
      <c r="S106" s="25">
        <f t="shared" si="13"/>
        <v>0</v>
      </c>
      <c r="T106" s="25">
        <f t="shared" si="13"/>
        <v>0</v>
      </c>
      <c r="U106" s="25">
        <f t="shared" si="13"/>
        <v>0</v>
      </c>
      <c r="V106" s="25">
        <f t="shared" si="13"/>
        <v>0</v>
      </c>
      <c r="W106" s="25">
        <f t="shared" si="13"/>
        <v>0</v>
      </c>
      <c r="X106" s="25">
        <f t="shared" si="13"/>
        <v>0</v>
      </c>
      <c r="Y106" s="25">
        <f t="shared" si="13"/>
        <v>0</v>
      </c>
      <c r="Z106" s="25">
        <f t="shared" si="13"/>
        <v>0</v>
      </c>
      <c r="AA106" s="25">
        <f t="shared" si="13"/>
        <v>0</v>
      </c>
      <c r="AB106" s="25">
        <f t="shared" si="13"/>
        <v>0</v>
      </c>
      <c r="AC106" s="25">
        <f t="shared" si="13"/>
        <v>0</v>
      </c>
      <c r="AD106" s="25">
        <f t="shared" si="13"/>
        <v>0</v>
      </c>
      <c r="AE106" s="25">
        <f t="shared" si="13"/>
        <v>0</v>
      </c>
      <c r="AF106" s="25">
        <f t="shared" si="13"/>
        <v>0</v>
      </c>
      <c r="AG106" s="25">
        <f t="shared" si="13"/>
        <v>0</v>
      </c>
      <c r="AH106">
        <f t="shared" si="6"/>
        <v>229</v>
      </c>
    </row>
    <row r="107" spans="1:34" x14ac:dyDescent="0.2">
      <c r="A107" s="6">
        <v>13</v>
      </c>
      <c r="B107" s="6" t="s">
        <v>113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>
        <f t="shared" si="6"/>
        <v>0</v>
      </c>
    </row>
    <row r="108" spans="1:34" x14ac:dyDescent="0.2">
      <c r="A108" s="8" t="s">
        <v>117</v>
      </c>
      <c r="B108" s="3" t="s">
        <v>114</v>
      </c>
      <c r="C108" s="3"/>
      <c r="D108" s="3">
        <v>229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>
        <f t="shared" si="6"/>
        <v>229</v>
      </c>
    </row>
    <row r="109" spans="1:34" x14ac:dyDescent="0.2">
      <c r="A109" s="8" t="s">
        <v>118</v>
      </c>
      <c r="B109" s="3" t="s">
        <v>116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>
        <f t="shared" si="6"/>
        <v>0</v>
      </c>
    </row>
    <row r="110" spans="1:34" x14ac:dyDescent="0.2">
      <c r="A110" s="8" t="s">
        <v>119</v>
      </c>
      <c r="B110" s="3" t="s">
        <v>115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>
        <f t="shared" si="6"/>
        <v>0</v>
      </c>
    </row>
    <row r="111" spans="1:34" x14ac:dyDescent="0.2">
      <c r="A111" s="8"/>
      <c r="B111" s="24"/>
      <c r="C111" s="25">
        <f>SUM(C112:C115)</f>
        <v>0</v>
      </c>
      <c r="D111" s="25">
        <f t="shared" ref="D111:AG111" si="14">SUM(D112:D115)</f>
        <v>0</v>
      </c>
      <c r="E111" s="25">
        <f t="shared" si="14"/>
        <v>40</v>
      </c>
      <c r="F111" s="25">
        <f t="shared" si="14"/>
        <v>0</v>
      </c>
      <c r="G111" s="25">
        <f t="shared" si="14"/>
        <v>0</v>
      </c>
      <c r="H111" s="25">
        <f t="shared" si="14"/>
        <v>0</v>
      </c>
      <c r="I111" s="25">
        <f t="shared" si="14"/>
        <v>0</v>
      </c>
      <c r="J111" s="25">
        <f t="shared" si="14"/>
        <v>0</v>
      </c>
      <c r="K111" s="25">
        <f t="shared" si="14"/>
        <v>0</v>
      </c>
      <c r="L111" s="25">
        <f t="shared" si="14"/>
        <v>0</v>
      </c>
      <c r="M111" s="25">
        <f t="shared" si="14"/>
        <v>0</v>
      </c>
      <c r="N111" s="25">
        <f t="shared" si="14"/>
        <v>0</v>
      </c>
      <c r="O111" s="25">
        <f t="shared" si="14"/>
        <v>0</v>
      </c>
      <c r="P111" s="25">
        <f t="shared" si="14"/>
        <v>0</v>
      </c>
      <c r="Q111" s="25">
        <f t="shared" si="14"/>
        <v>0</v>
      </c>
      <c r="R111" s="25">
        <f t="shared" si="14"/>
        <v>0</v>
      </c>
      <c r="S111" s="25">
        <f t="shared" si="14"/>
        <v>0</v>
      </c>
      <c r="T111" s="25">
        <f t="shared" si="14"/>
        <v>0</v>
      </c>
      <c r="U111" s="25">
        <f t="shared" si="14"/>
        <v>0</v>
      </c>
      <c r="V111" s="25">
        <f t="shared" si="14"/>
        <v>0</v>
      </c>
      <c r="W111" s="25">
        <f t="shared" si="14"/>
        <v>0</v>
      </c>
      <c r="X111" s="25">
        <f t="shared" si="14"/>
        <v>0</v>
      </c>
      <c r="Y111" s="25">
        <f t="shared" si="14"/>
        <v>0</v>
      </c>
      <c r="Z111" s="25">
        <f t="shared" si="14"/>
        <v>0</v>
      </c>
      <c r="AA111" s="25">
        <f t="shared" si="14"/>
        <v>0</v>
      </c>
      <c r="AB111" s="25">
        <f t="shared" si="14"/>
        <v>0</v>
      </c>
      <c r="AC111" s="25">
        <f t="shared" si="14"/>
        <v>0</v>
      </c>
      <c r="AD111" s="25">
        <f t="shared" si="14"/>
        <v>0</v>
      </c>
      <c r="AE111" s="25">
        <f t="shared" si="14"/>
        <v>0</v>
      </c>
      <c r="AF111" s="25">
        <f t="shared" si="14"/>
        <v>0</v>
      </c>
      <c r="AG111" s="25">
        <f t="shared" si="14"/>
        <v>0</v>
      </c>
      <c r="AH111">
        <f t="shared" si="6"/>
        <v>40</v>
      </c>
    </row>
    <row r="112" spans="1:34" x14ac:dyDescent="0.2">
      <c r="A112" s="6">
        <v>14</v>
      </c>
      <c r="B112" s="16" t="s">
        <v>120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>
        <f t="shared" si="6"/>
        <v>0</v>
      </c>
    </row>
    <row r="113" spans="1:34" x14ac:dyDescent="0.2">
      <c r="A113" s="9" t="s">
        <v>124</v>
      </c>
      <c r="B113" s="15" t="s">
        <v>121</v>
      </c>
      <c r="C113" s="3"/>
      <c r="D113" s="3"/>
      <c r="E113" s="3">
        <v>40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>
        <f t="shared" si="6"/>
        <v>40</v>
      </c>
    </row>
    <row r="114" spans="1:34" x14ac:dyDescent="0.2">
      <c r="A114" s="9" t="s">
        <v>125</v>
      </c>
      <c r="B114" s="15" t="s">
        <v>123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>
        <f t="shared" si="6"/>
        <v>0</v>
      </c>
    </row>
    <row r="115" spans="1:34" x14ac:dyDescent="0.2">
      <c r="A115" s="12" t="s">
        <v>126</v>
      </c>
      <c r="B115" s="15" t="s">
        <v>122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>
        <f t="shared" si="6"/>
        <v>0</v>
      </c>
    </row>
    <row r="116" spans="1:34" x14ac:dyDescent="0.2">
      <c r="A116" s="12"/>
      <c r="B116" s="24"/>
      <c r="C116" s="25">
        <f>SUM(C117:C121)</f>
        <v>0</v>
      </c>
      <c r="D116" s="25">
        <f t="shared" ref="D116:AG116" si="15">SUM(D117:D121)</f>
        <v>1850</v>
      </c>
      <c r="E116" s="25">
        <f t="shared" si="15"/>
        <v>1330</v>
      </c>
      <c r="F116" s="25">
        <f t="shared" si="15"/>
        <v>120</v>
      </c>
      <c r="G116" s="25">
        <f t="shared" si="15"/>
        <v>0</v>
      </c>
      <c r="H116" s="25">
        <f t="shared" si="15"/>
        <v>0</v>
      </c>
      <c r="I116" s="25">
        <f t="shared" si="15"/>
        <v>0</v>
      </c>
      <c r="J116" s="25">
        <f t="shared" si="15"/>
        <v>0</v>
      </c>
      <c r="K116" s="25">
        <f t="shared" si="15"/>
        <v>350</v>
      </c>
      <c r="L116" s="25">
        <f t="shared" si="15"/>
        <v>0</v>
      </c>
      <c r="M116" s="25">
        <f t="shared" si="15"/>
        <v>0</v>
      </c>
      <c r="N116" s="25">
        <f t="shared" si="15"/>
        <v>100</v>
      </c>
      <c r="O116" s="25">
        <f t="shared" si="15"/>
        <v>0</v>
      </c>
      <c r="P116" s="25">
        <f t="shared" si="15"/>
        <v>0</v>
      </c>
      <c r="Q116" s="25">
        <f t="shared" si="15"/>
        <v>1220</v>
      </c>
      <c r="R116" s="25">
        <f t="shared" si="15"/>
        <v>0</v>
      </c>
      <c r="S116" s="25">
        <f t="shared" si="15"/>
        <v>0</v>
      </c>
      <c r="T116" s="25">
        <f t="shared" si="15"/>
        <v>0</v>
      </c>
      <c r="U116" s="25">
        <f t="shared" si="15"/>
        <v>0</v>
      </c>
      <c r="V116" s="25">
        <f t="shared" si="15"/>
        <v>0</v>
      </c>
      <c r="W116" s="25">
        <f t="shared" si="15"/>
        <v>0</v>
      </c>
      <c r="X116" s="25">
        <f t="shared" si="15"/>
        <v>0</v>
      </c>
      <c r="Y116" s="25">
        <f t="shared" si="15"/>
        <v>0</v>
      </c>
      <c r="Z116" s="25">
        <f t="shared" si="15"/>
        <v>0</v>
      </c>
      <c r="AA116" s="25">
        <f t="shared" si="15"/>
        <v>0</v>
      </c>
      <c r="AB116" s="25">
        <f t="shared" si="15"/>
        <v>0</v>
      </c>
      <c r="AC116" s="25">
        <f t="shared" si="15"/>
        <v>0</v>
      </c>
      <c r="AD116" s="25">
        <f t="shared" si="15"/>
        <v>0</v>
      </c>
      <c r="AE116" s="25">
        <f t="shared" si="15"/>
        <v>0</v>
      </c>
      <c r="AF116" s="25">
        <f t="shared" si="15"/>
        <v>0</v>
      </c>
      <c r="AG116" s="25">
        <f t="shared" si="15"/>
        <v>0</v>
      </c>
      <c r="AH116">
        <f t="shared" si="6"/>
        <v>4970</v>
      </c>
    </row>
    <row r="117" spans="1:34" x14ac:dyDescent="0.2">
      <c r="A117" s="6">
        <v>15</v>
      </c>
      <c r="B117" s="6" t="s">
        <v>127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>
        <f t="shared" si="6"/>
        <v>0</v>
      </c>
    </row>
    <row r="118" spans="1:34" x14ac:dyDescent="0.2">
      <c r="A118" s="9"/>
      <c r="B118" s="3" t="s">
        <v>128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>
        <f t="shared" si="6"/>
        <v>0</v>
      </c>
    </row>
    <row r="119" spans="1:34" x14ac:dyDescent="0.2">
      <c r="A119" s="9"/>
      <c r="B119" s="3" t="s">
        <v>129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>
        <f t="shared" si="6"/>
        <v>0</v>
      </c>
    </row>
    <row r="120" spans="1:34" x14ac:dyDescent="0.2">
      <c r="A120" s="9"/>
      <c r="B120" s="3" t="s">
        <v>130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>
        <f t="shared" si="6"/>
        <v>0</v>
      </c>
    </row>
    <row r="121" spans="1:34" x14ac:dyDescent="0.2">
      <c r="A121" s="9"/>
      <c r="B121" s="3" t="s">
        <v>131</v>
      </c>
      <c r="C121" s="3"/>
      <c r="D121" s="3">
        <v>1850</v>
      </c>
      <c r="E121" s="3">
        <f>1220+110</f>
        <v>1330</v>
      </c>
      <c r="F121" s="3">
        <v>120</v>
      </c>
      <c r="G121" s="3"/>
      <c r="H121" s="3"/>
      <c r="I121" s="3"/>
      <c r="J121" s="3"/>
      <c r="K121" s="3">
        <f>100+250</f>
        <v>350</v>
      </c>
      <c r="L121" s="3"/>
      <c r="M121" s="3"/>
      <c r="N121" s="3">
        <v>100</v>
      </c>
      <c r="O121" s="3"/>
      <c r="P121" s="3"/>
      <c r="Q121" s="3">
        <v>1220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>
        <f t="shared" si="6"/>
        <v>4970</v>
      </c>
    </row>
    <row r="122" spans="1:34" x14ac:dyDescent="0.2">
      <c r="A122" s="9"/>
      <c r="B122" s="24"/>
      <c r="C122" s="25">
        <f>SUM(C123:C128)</f>
        <v>0</v>
      </c>
      <c r="D122" s="25">
        <f t="shared" ref="D122:AG122" si="16">SUM(D123:D128)</f>
        <v>0</v>
      </c>
      <c r="E122" s="25">
        <f t="shared" si="16"/>
        <v>0</v>
      </c>
      <c r="F122" s="25">
        <f t="shared" si="16"/>
        <v>0</v>
      </c>
      <c r="G122" s="25">
        <f t="shared" si="16"/>
        <v>0</v>
      </c>
      <c r="H122" s="25">
        <f t="shared" si="16"/>
        <v>0</v>
      </c>
      <c r="I122" s="25">
        <f t="shared" si="16"/>
        <v>0</v>
      </c>
      <c r="J122" s="25">
        <f t="shared" si="16"/>
        <v>0</v>
      </c>
      <c r="K122" s="25">
        <f t="shared" si="16"/>
        <v>0</v>
      </c>
      <c r="L122" s="25">
        <f t="shared" si="16"/>
        <v>0</v>
      </c>
      <c r="M122" s="25">
        <f t="shared" si="16"/>
        <v>0</v>
      </c>
      <c r="N122" s="25">
        <f t="shared" si="16"/>
        <v>0</v>
      </c>
      <c r="O122" s="25">
        <f t="shared" si="16"/>
        <v>0</v>
      </c>
      <c r="P122" s="25">
        <f t="shared" si="16"/>
        <v>0</v>
      </c>
      <c r="Q122" s="25">
        <f t="shared" si="16"/>
        <v>0</v>
      </c>
      <c r="R122" s="25">
        <f t="shared" si="16"/>
        <v>0</v>
      </c>
      <c r="S122" s="25">
        <f t="shared" si="16"/>
        <v>0</v>
      </c>
      <c r="T122" s="25">
        <f t="shared" si="16"/>
        <v>0</v>
      </c>
      <c r="U122" s="25">
        <f t="shared" si="16"/>
        <v>0</v>
      </c>
      <c r="V122" s="25">
        <f t="shared" si="16"/>
        <v>0</v>
      </c>
      <c r="W122" s="25">
        <f t="shared" si="16"/>
        <v>0</v>
      </c>
      <c r="X122" s="25">
        <f t="shared" si="16"/>
        <v>0</v>
      </c>
      <c r="Y122" s="25">
        <f t="shared" si="16"/>
        <v>0</v>
      </c>
      <c r="Z122" s="25">
        <f t="shared" si="16"/>
        <v>0</v>
      </c>
      <c r="AA122" s="25">
        <f t="shared" si="16"/>
        <v>0</v>
      </c>
      <c r="AB122" s="25">
        <f t="shared" si="16"/>
        <v>0</v>
      </c>
      <c r="AC122" s="25">
        <f t="shared" si="16"/>
        <v>0</v>
      </c>
      <c r="AD122" s="25">
        <f t="shared" si="16"/>
        <v>0</v>
      </c>
      <c r="AE122" s="25">
        <f t="shared" si="16"/>
        <v>0</v>
      </c>
      <c r="AF122" s="25">
        <f t="shared" si="16"/>
        <v>0</v>
      </c>
      <c r="AG122" s="25">
        <f t="shared" si="16"/>
        <v>0</v>
      </c>
      <c r="AH122">
        <f t="shared" si="6"/>
        <v>0</v>
      </c>
    </row>
    <row r="123" spans="1:34" x14ac:dyDescent="0.2">
      <c r="A123" s="6">
        <v>16</v>
      </c>
      <c r="B123" s="11" t="s">
        <v>137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>
        <f t="shared" si="6"/>
        <v>0</v>
      </c>
    </row>
    <row r="124" spans="1:34" x14ac:dyDescent="0.2">
      <c r="A124" s="8"/>
      <c r="B124" s="3" t="s">
        <v>132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>
        <f t="shared" si="6"/>
        <v>0</v>
      </c>
    </row>
    <row r="125" spans="1:34" x14ac:dyDescent="0.2">
      <c r="A125" s="8"/>
      <c r="B125" s="13" t="s">
        <v>133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>
        <f t="shared" si="6"/>
        <v>0</v>
      </c>
    </row>
    <row r="126" spans="1:34" x14ac:dyDescent="0.2">
      <c r="A126" s="8"/>
      <c r="B126" s="13" t="s">
        <v>136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>
        <f t="shared" si="6"/>
        <v>0</v>
      </c>
    </row>
    <row r="127" spans="1:34" x14ac:dyDescent="0.2">
      <c r="A127" s="8"/>
      <c r="B127" s="13" t="s">
        <v>134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>
        <f t="shared" si="6"/>
        <v>0</v>
      </c>
    </row>
    <row r="128" spans="1:34" x14ac:dyDescent="0.2">
      <c r="A128" s="8"/>
      <c r="B128" s="13" t="s">
        <v>135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>
        <f t="shared" si="6"/>
        <v>0</v>
      </c>
    </row>
    <row r="129" spans="1:34" x14ac:dyDescent="0.2">
      <c r="A129" s="8"/>
      <c r="B129" s="24"/>
      <c r="C129" s="25">
        <f>SUM(C130:C137)</f>
        <v>0</v>
      </c>
      <c r="D129" s="25">
        <f t="shared" ref="D129:AG129" si="17">SUM(D130:D137)</f>
        <v>0</v>
      </c>
      <c r="E129" s="25">
        <f t="shared" si="17"/>
        <v>0</v>
      </c>
      <c r="F129" s="25">
        <f t="shared" si="17"/>
        <v>0</v>
      </c>
      <c r="G129" s="25">
        <f t="shared" si="17"/>
        <v>0</v>
      </c>
      <c r="H129" s="25">
        <f t="shared" si="17"/>
        <v>0</v>
      </c>
      <c r="I129" s="25">
        <f t="shared" si="17"/>
        <v>0</v>
      </c>
      <c r="J129" s="25">
        <f t="shared" si="17"/>
        <v>0</v>
      </c>
      <c r="K129" s="25">
        <f t="shared" si="17"/>
        <v>0</v>
      </c>
      <c r="L129" s="25">
        <f t="shared" si="17"/>
        <v>0</v>
      </c>
      <c r="M129" s="25">
        <f t="shared" si="17"/>
        <v>0</v>
      </c>
      <c r="N129" s="25">
        <f t="shared" si="17"/>
        <v>0</v>
      </c>
      <c r="O129" s="25">
        <f t="shared" si="17"/>
        <v>0</v>
      </c>
      <c r="P129" s="25">
        <f t="shared" si="17"/>
        <v>0</v>
      </c>
      <c r="Q129" s="25">
        <f t="shared" si="17"/>
        <v>0</v>
      </c>
      <c r="R129" s="25">
        <f t="shared" si="17"/>
        <v>0</v>
      </c>
      <c r="S129" s="25">
        <f t="shared" si="17"/>
        <v>0</v>
      </c>
      <c r="T129" s="25">
        <f t="shared" si="17"/>
        <v>0</v>
      </c>
      <c r="U129" s="25">
        <f t="shared" si="17"/>
        <v>0</v>
      </c>
      <c r="V129" s="25">
        <f t="shared" si="17"/>
        <v>0</v>
      </c>
      <c r="W129" s="25">
        <f t="shared" si="17"/>
        <v>0</v>
      </c>
      <c r="X129" s="25">
        <f t="shared" si="17"/>
        <v>0</v>
      </c>
      <c r="Y129" s="25">
        <f t="shared" si="17"/>
        <v>0</v>
      </c>
      <c r="Z129" s="25">
        <f t="shared" si="17"/>
        <v>0</v>
      </c>
      <c r="AA129" s="25">
        <f t="shared" si="17"/>
        <v>0</v>
      </c>
      <c r="AB129" s="25">
        <f t="shared" si="17"/>
        <v>0</v>
      </c>
      <c r="AC129" s="25">
        <f t="shared" si="17"/>
        <v>0</v>
      </c>
      <c r="AD129" s="25">
        <f t="shared" si="17"/>
        <v>0</v>
      </c>
      <c r="AE129" s="25">
        <f t="shared" si="17"/>
        <v>0</v>
      </c>
      <c r="AF129" s="25">
        <f t="shared" si="17"/>
        <v>0</v>
      </c>
      <c r="AG129" s="25">
        <f t="shared" si="17"/>
        <v>0</v>
      </c>
      <c r="AH129">
        <f t="shared" si="6"/>
        <v>0</v>
      </c>
    </row>
    <row r="130" spans="1:34" x14ac:dyDescent="0.2">
      <c r="A130" s="6">
        <v>17</v>
      </c>
      <c r="B130" s="11" t="s">
        <v>138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>
        <f t="shared" si="6"/>
        <v>0</v>
      </c>
    </row>
    <row r="131" spans="1:34" x14ac:dyDescent="0.2">
      <c r="A131" s="8"/>
      <c r="B131" s="3" t="s">
        <v>139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>
        <f t="shared" si="6"/>
        <v>0</v>
      </c>
    </row>
    <row r="132" spans="1:34" x14ac:dyDescent="0.2">
      <c r="A132" s="8"/>
      <c r="B132" s="3" t="s">
        <v>140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>
        <f t="shared" si="6"/>
        <v>0</v>
      </c>
    </row>
    <row r="133" spans="1:34" x14ac:dyDescent="0.2">
      <c r="A133" s="8"/>
      <c r="B133" s="3" t="s">
        <v>141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>
        <f t="shared" ref="AH133:AH153" si="18">SUM(C133:AG133)</f>
        <v>0</v>
      </c>
    </row>
    <row r="134" spans="1:34" x14ac:dyDescent="0.2">
      <c r="A134" s="8"/>
      <c r="B134" s="3" t="s">
        <v>142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>
        <f t="shared" si="18"/>
        <v>0</v>
      </c>
    </row>
    <row r="135" spans="1:34" x14ac:dyDescent="0.2">
      <c r="A135" s="9"/>
      <c r="B135" s="3" t="s">
        <v>143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>
        <f t="shared" si="18"/>
        <v>0</v>
      </c>
    </row>
    <row r="136" spans="1:34" x14ac:dyDescent="0.2">
      <c r="A136" s="9"/>
      <c r="B136" s="3" t="s">
        <v>144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>
        <f t="shared" si="18"/>
        <v>0</v>
      </c>
    </row>
    <row r="137" spans="1:34" x14ac:dyDescent="0.2">
      <c r="A137" s="9"/>
      <c r="B137" s="3" t="s">
        <v>145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>
        <f t="shared" si="18"/>
        <v>0</v>
      </c>
    </row>
    <row r="138" spans="1:34" x14ac:dyDescent="0.2">
      <c r="A138" s="9"/>
      <c r="B138" s="24"/>
      <c r="C138" s="25">
        <f>SUM(C139:C143)</f>
        <v>0</v>
      </c>
      <c r="D138" s="25">
        <f t="shared" ref="D138:AG138" si="19">SUM(D139:D143)</f>
        <v>234</v>
      </c>
      <c r="E138" s="25">
        <f t="shared" si="19"/>
        <v>0</v>
      </c>
      <c r="F138" s="25">
        <f t="shared" si="19"/>
        <v>229</v>
      </c>
      <c r="G138" s="25">
        <f t="shared" si="19"/>
        <v>0</v>
      </c>
      <c r="H138" s="25">
        <f t="shared" si="19"/>
        <v>0</v>
      </c>
      <c r="I138" s="25">
        <f t="shared" si="19"/>
        <v>0</v>
      </c>
      <c r="J138" s="25">
        <f t="shared" si="19"/>
        <v>0</v>
      </c>
      <c r="K138" s="25">
        <f t="shared" si="19"/>
        <v>0</v>
      </c>
      <c r="L138" s="25">
        <f t="shared" si="19"/>
        <v>0</v>
      </c>
      <c r="M138" s="25">
        <f t="shared" si="19"/>
        <v>0</v>
      </c>
      <c r="N138" s="25">
        <f t="shared" si="19"/>
        <v>0</v>
      </c>
      <c r="O138" s="25">
        <f t="shared" si="19"/>
        <v>524.5</v>
      </c>
      <c r="P138" s="25">
        <f t="shared" si="19"/>
        <v>0</v>
      </c>
      <c r="Q138" s="25">
        <f t="shared" si="19"/>
        <v>0</v>
      </c>
      <c r="R138" s="25">
        <f t="shared" si="19"/>
        <v>0</v>
      </c>
      <c r="S138" s="25">
        <f t="shared" si="19"/>
        <v>0</v>
      </c>
      <c r="T138" s="25">
        <f t="shared" si="19"/>
        <v>0</v>
      </c>
      <c r="U138" s="25">
        <f t="shared" si="19"/>
        <v>0</v>
      </c>
      <c r="V138" s="25">
        <f t="shared" si="19"/>
        <v>0</v>
      </c>
      <c r="W138" s="25">
        <f t="shared" si="19"/>
        <v>0</v>
      </c>
      <c r="X138" s="25">
        <f t="shared" si="19"/>
        <v>0</v>
      </c>
      <c r="Y138" s="25">
        <f t="shared" si="19"/>
        <v>0</v>
      </c>
      <c r="Z138" s="25">
        <f t="shared" si="19"/>
        <v>0</v>
      </c>
      <c r="AA138" s="25">
        <f t="shared" si="19"/>
        <v>0</v>
      </c>
      <c r="AB138" s="25">
        <f t="shared" si="19"/>
        <v>0</v>
      </c>
      <c r="AC138" s="25">
        <f t="shared" si="19"/>
        <v>0</v>
      </c>
      <c r="AD138" s="25">
        <f t="shared" si="19"/>
        <v>0</v>
      </c>
      <c r="AE138" s="25">
        <f t="shared" si="19"/>
        <v>0</v>
      </c>
      <c r="AF138" s="25">
        <f t="shared" si="19"/>
        <v>0</v>
      </c>
      <c r="AG138" s="25">
        <f t="shared" si="19"/>
        <v>0</v>
      </c>
      <c r="AH138">
        <f t="shared" si="18"/>
        <v>987.5</v>
      </c>
    </row>
    <row r="139" spans="1:34" x14ac:dyDescent="0.2">
      <c r="A139" s="6">
        <v>18</v>
      </c>
      <c r="B139" s="6" t="s">
        <v>146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>
        <f t="shared" si="18"/>
        <v>0</v>
      </c>
    </row>
    <row r="140" spans="1:34" x14ac:dyDescent="0.2">
      <c r="A140" s="8"/>
      <c r="B140" s="3" t="s">
        <v>147</v>
      </c>
      <c r="C140" s="3"/>
      <c r="D140" s="3">
        <v>234</v>
      </c>
      <c r="E140" s="3"/>
      <c r="F140" s="3">
        <v>229</v>
      </c>
      <c r="G140" s="3"/>
      <c r="H140" s="3"/>
      <c r="I140" s="3"/>
      <c r="J140" s="3"/>
      <c r="K140" s="3"/>
      <c r="L140" s="3"/>
      <c r="M140" s="3"/>
      <c r="N140" s="3"/>
      <c r="O140" s="3">
        <v>524.5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>
        <f t="shared" si="18"/>
        <v>987.5</v>
      </c>
    </row>
    <row r="141" spans="1:34" x14ac:dyDescent="0.2">
      <c r="A141" s="8"/>
      <c r="B141" s="3" t="s">
        <v>150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>
        <f t="shared" si="18"/>
        <v>0</v>
      </c>
    </row>
    <row r="142" spans="1:34" x14ac:dyDescent="0.2">
      <c r="A142" s="8"/>
      <c r="B142" s="3" t="s">
        <v>148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>
        <f t="shared" si="18"/>
        <v>0</v>
      </c>
    </row>
    <row r="143" spans="1:34" x14ac:dyDescent="0.2">
      <c r="A143" s="9"/>
      <c r="B143" s="3" t="s">
        <v>149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>
        <f t="shared" si="18"/>
        <v>0</v>
      </c>
    </row>
    <row r="144" spans="1:34" x14ac:dyDescent="0.2">
      <c r="A144" s="9"/>
      <c r="B144" s="24"/>
      <c r="C144" s="25">
        <f>SUM(C145:C153)</f>
        <v>14</v>
      </c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>
        <f t="shared" si="18"/>
        <v>14</v>
      </c>
    </row>
    <row r="145" spans="1:34" x14ac:dyDescent="0.2">
      <c r="A145" s="6">
        <v>19</v>
      </c>
      <c r="B145" s="16" t="s">
        <v>151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>
        <f t="shared" si="18"/>
        <v>0</v>
      </c>
    </row>
    <row r="146" spans="1:34" x14ac:dyDescent="0.2">
      <c r="A146" s="12"/>
      <c r="B146" s="15" t="s">
        <v>152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>
        <f t="shared" si="18"/>
        <v>0</v>
      </c>
    </row>
    <row r="147" spans="1:34" x14ac:dyDescent="0.2">
      <c r="A147" s="12"/>
      <c r="B147" s="3" t="s">
        <v>156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>
        <f t="shared" si="18"/>
        <v>0</v>
      </c>
    </row>
    <row r="148" spans="1:34" x14ac:dyDescent="0.2">
      <c r="A148" s="12"/>
      <c r="B148" s="3" t="s">
        <v>153</v>
      </c>
      <c r="C148" s="3">
        <v>14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619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>
        <f t="shared" si="18"/>
        <v>633</v>
      </c>
    </row>
    <row r="149" spans="1:34" x14ac:dyDescent="0.2">
      <c r="A149" s="12"/>
      <c r="B149" s="3" t="s">
        <v>157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>
        <f t="shared" si="18"/>
        <v>0</v>
      </c>
    </row>
    <row r="150" spans="1:34" x14ac:dyDescent="0.2">
      <c r="A150" s="12"/>
      <c r="B150" s="3" t="s">
        <v>154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>
        <f t="shared" si="18"/>
        <v>0</v>
      </c>
    </row>
    <row r="151" spans="1:34" x14ac:dyDescent="0.2">
      <c r="A151" s="12"/>
      <c r="B151" s="3" t="s">
        <v>158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>
        <f t="shared" si="18"/>
        <v>0</v>
      </c>
    </row>
    <row r="152" spans="1:34" x14ac:dyDescent="0.2">
      <c r="A152" s="12"/>
      <c r="B152" s="3" t="s">
        <v>155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>
        <f t="shared" si="18"/>
        <v>0</v>
      </c>
    </row>
    <row r="153" spans="1:34" x14ac:dyDescent="0.2">
      <c r="A153" s="12"/>
      <c r="B153" s="3" t="s">
        <v>159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>
        <f t="shared" si="18"/>
        <v>0</v>
      </c>
    </row>
    <row r="154" spans="1:34" x14ac:dyDescent="0.2">
      <c r="A154" s="36" t="s">
        <v>163</v>
      </c>
      <c r="B154" s="37"/>
      <c r="C154" s="3">
        <f>C144+C138+C129+C122+C116+C111+C106+C98+C94+C86+C73+C67+C63+C54+C41+C31+C16+C2</f>
        <v>2001.63</v>
      </c>
      <c r="D154" s="3">
        <f t="shared" ref="D154:AG154" si="20">D144+D138+D129+D122+D116+D111+D106+D98+D94+D86+D73+D67+D63+D54+D41+D31+D16+D2</f>
        <v>6967.54</v>
      </c>
      <c r="E154" s="3">
        <f t="shared" si="20"/>
        <v>4108.32</v>
      </c>
      <c r="F154" s="3">
        <f t="shared" si="20"/>
        <v>18347</v>
      </c>
      <c r="G154" s="3">
        <f t="shared" si="20"/>
        <v>46634.92</v>
      </c>
      <c r="H154" s="3">
        <f t="shared" si="20"/>
        <v>8280.6</v>
      </c>
      <c r="I154" s="3">
        <f t="shared" si="20"/>
        <v>105.75</v>
      </c>
      <c r="J154" s="3">
        <f t="shared" si="20"/>
        <v>2933.2200000000003</v>
      </c>
      <c r="K154" s="3">
        <f t="shared" si="20"/>
        <v>1934</v>
      </c>
      <c r="L154" s="3">
        <f t="shared" si="20"/>
        <v>1125.71</v>
      </c>
      <c r="M154" s="3">
        <f t="shared" si="20"/>
        <v>4949.8599999999997</v>
      </c>
      <c r="N154" s="3">
        <f t="shared" si="20"/>
        <v>25661.25</v>
      </c>
      <c r="O154" s="3">
        <f t="shared" si="20"/>
        <v>1400.24</v>
      </c>
      <c r="P154" s="3">
        <f t="shared" si="20"/>
        <v>90</v>
      </c>
      <c r="Q154" s="3">
        <f t="shared" si="20"/>
        <v>4450.16</v>
      </c>
      <c r="R154" s="3">
        <f t="shared" si="20"/>
        <v>395.09000000000003</v>
      </c>
      <c r="S154" s="3">
        <f t="shared" si="20"/>
        <v>0</v>
      </c>
      <c r="T154" s="3">
        <f t="shared" si="20"/>
        <v>0</v>
      </c>
      <c r="U154" s="3">
        <f t="shared" si="20"/>
        <v>0</v>
      </c>
      <c r="V154" s="3">
        <f t="shared" si="20"/>
        <v>0</v>
      </c>
      <c r="W154" s="3">
        <f t="shared" si="20"/>
        <v>0</v>
      </c>
      <c r="X154" s="3">
        <f t="shared" si="20"/>
        <v>0</v>
      </c>
      <c r="Y154" s="3">
        <f t="shared" si="20"/>
        <v>0</v>
      </c>
      <c r="Z154" s="3">
        <f t="shared" si="20"/>
        <v>0</v>
      </c>
      <c r="AA154" s="3">
        <f t="shared" si="20"/>
        <v>0</v>
      </c>
      <c r="AB154" s="3">
        <f t="shared" si="20"/>
        <v>0</v>
      </c>
      <c r="AC154" s="3">
        <f t="shared" si="20"/>
        <v>0</v>
      </c>
      <c r="AD154" s="3">
        <f t="shared" si="20"/>
        <v>0</v>
      </c>
      <c r="AE154" s="3">
        <f t="shared" si="20"/>
        <v>0</v>
      </c>
      <c r="AF154" s="3">
        <f t="shared" si="20"/>
        <v>0</v>
      </c>
      <c r="AG154" s="3">
        <f t="shared" si="20"/>
        <v>0</v>
      </c>
      <c r="AH154" s="22">
        <f>SUM(C154:AG154)</f>
        <v>129385.29000000002</v>
      </c>
    </row>
    <row r="167" spans="2:5" x14ac:dyDescent="0.2">
      <c r="B167" s="35">
        <v>1</v>
      </c>
      <c r="C167" s="40" t="s">
        <v>172</v>
      </c>
      <c r="D167" s="40"/>
      <c r="E167" s="5">
        <f>AH2</f>
        <v>22795.489999999998</v>
      </c>
    </row>
    <row r="168" spans="2:5" x14ac:dyDescent="0.2">
      <c r="B168" s="35">
        <v>2</v>
      </c>
      <c r="C168" s="40" t="s">
        <v>173</v>
      </c>
      <c r="D168" s="40"/>
      <c r="E168" s="5">
        <f>AH16</f>
        <v>7158</v>
      </c>
    </row>
    <row r="169" spans="2:5" x14ac:dyDescent="0.2">
      <c r="B169" s="35">
        <v>3</v>
      </c>
      <c r="C169" s="40" t="s">
        <v>170</v>
      </c>
      <c r="D169" s="40"/>
      <c r="E169" s="5">
        <f>AH31</f>
        <v>1297</v>
      </c>
    </row>
    <row r="170" spans="2:5" x14ac:dyDescent="0.2">
      <c r="B170" s="35">
        <v>4</v>
      </c>
      <c r="C170" s="40" t="s">
        <v>174</v>
      </c>
      <c r="D170" s="40"/>
      <c r="E170" s="5">
        <f>AH41</f>
        <v>1405</v>
      </c>
    </row>
    <row r="171" spans="2:5" ht="14.5" customHeight="1" x14ac:dyDescent="0.2">
      <c r="B171" s="35">
        <v>5</v>
      </c>
      <c r="C171" s="40" t="s">
        <v>54</v>
      </c>
      <c r="D171" s="40"/>
      <c r="E171" s="5">
        <f>AH54</f>
        <v>6872.5300000000007</v>
      </c>
    </row>
    <row r="172" spans="2:5" ht="14.5" customHeight="1" x14ac:dyDescent="0.2">
      <c r="B172" s="35">
        <v>6</v>
      </c>
      <c r="C172" s="40" t="s">
        <v>65</v>
      </c>
      <c r="D172" s="40"/>
      <c r="E172" s="5">
        <f>AH63</f>
        <v>1240</v>
      </c>
    </row>
    <row r="173" spans="2:5" x14ac:dyDescent="0.2">
      <c r="B173" s="35">
        <v>7</v>
      </c>
      <c r="C173" s="40" t="s">
        <v>68</v>
      </c>
      <c r="D173" s="40"/>
      <c r="E173" s="5">
        <f>AH67</f>
        <v>12200</v>
      </c>
    </row>
    <row r="174" spans="2:5" x14ac:dyDescent="0.2">
      <c r="B174" s="35">
        <v>8</v>
      </c>
      <c r="C174" s="40" t="s">
        <v>73</v>
      </c>
      <c r="D174" s="40"/>
      <c r="E174" s="5">
        <f>AH73</f>
        <v>68935</v>
      </c>
    </row>
    <row r="175" spans="2:5" ht="14.5" customHeight="1" x14ac:dyDescent="0.2">
      <c r="B175" s="35">
        <v>9</v>
      </c>
      <c r="C175" s="40" t="s">
        <v>175</v>
      </c>
      <c r="D175" s="40"/>
      <c r="E175" s="5">
        <f>AH78</f>
        <v>0</v>
      </c>
    </row>
    <row r="176" spans="2:5" x14ac:dyDescent="0.2">
      <c r="B176" s="35">
        <v>10</v>
      </c>
      <c r="C176" s="40" t="s">
        <v>88</v>
      </c>
      <c r="D176" s="40"/>
      <c r="E176" s="5">
        <f>AH86</f>
        <v>1116.56</v>
      </c>
    </row>
    <row r="177" spans="2:5" x14ac:dyDescent="0.2">
      <c r="B177" s="35">
        <v>11</v>
      </c>
      <c r="C177" s="40" t="s">
        <v>176</v>
      </c>
      <c r="D177" s="40"/>
      <c r="E177" s="5">
        <f>AH94</f>
        <v>0</v>
      </c>
    </row>
    <row r="178" spans="2:5" x14ac:dyDescent="0.2">
      <c r="B178" s="35">
        <v>12</v>
      </c>
      <c r="C178" s="40" t="s">
        <v>177</v>
      </c>
      <c r="D178" s="40"/>
      <c r="E178" s="5">
        <f>AH99</f>
        <v>20</v>
      </c>
    </row>
    <row r="179" spans="2:5" x14ac:dyDescent="0.2">
      <c r="B179" s="35">
        <v>13</v>
      </c>
      <c r="C179" s="40" t="s">
        <v>178</v>
      </c>
      <c r="D179" s="40"/>
      <c r="E179" s="5">
        <f>AH106</f>
        <v>229</v>
      </c>
    </row>
    <row r="180" spans="2:5" x14ac:dyDescent="0.2">
      <c r="B180" s="35">
        <v>14</v>
      </c>
      <c r="C180" s="40" t="s">
        <v>179</v>
      </c>
      <c r="D180" s="40"/>
      <c r="E180" s="5">
        <f>AH111</f>
        <v>40</v>
      </c>
    </row>
    <row r="181" spans="2:5" ht="14.5" customHeight="1" x14ac:dyDescent="0.2">
      <c r="B181" s="35">
        <v>15</v>
      </c>
      <c r="C181" s="40" t="s">
        <v>180</v>
      </c>
      <c r="D181" s="40"/>
      <c r="E181" s="5">
        <f>AH116</f>
        <v>4970</v>
      </c>
    </row>
    <row r="182" spans="2:5" ht="14.5" customHeight="1" x14ac:dyDescent="0.2">
      <c r="B182" s="35">
        <v>16</v>
      </c>
      <c r="C182" s="40" t="s">
        <v>137</v>
      </c>
      <c r="D182" s="40"/>
      <c r="E182" s="5">
        <f>AH122</f>
        <v>0</v>
      </c>
    </row>
    <row r="183" spans="2:5" ht="14.5" customHeight="1" x14ac:dyDescent="0.2">
      <c r="B183" s="35">
        <v>17</v>
      </c>
      <c r="C183" s="40" t="s">
        <v>138</v>
      </c>
      <c r="D183" s="40"/>
      <c r="E183" s="5">
        <f>AH129</f>
        <v>0</v>
      </c>
    </row>
    <row r="184" spans="2:5" ht="14.5" customHeight="1" x14ac:dyDescent="0.2">
      <c r="B184" s="35">
        <v>18</v>
      </c>
      <c r="C184" s="40" t="s">
        <v>146</v>
      </c>
      <c r="D184" s="40"/>
      <c r="E184" s="5">
        <f>AH138</f>
        <v>987.5</v>
      </c>
    </row>
    <row r="185" spans="2:5" ht="14.5" customHeight="1" x14ac:dyDescent="0.2">
      <c r="B185" s="35">
        <v>19</v>
      </c>
      <c r="C185" s="40" t="s">
        <v>151</v>
      </c>
      <c r="D185" s="40"/>
      <c r="E185" s="5">
        <f>AH144</f>
        <v>14</v>
      </c>
    </row>
  </sheetData>
  <mergeCells count="20">
    <mergeCell ref="C185:D185"/>
    <mergeCell ref="C179:D179"/>
    <mergeCell ref="C180:D180"/>
    <mergeCell ref="C182:D182"/>
    <mergeCell ref="C183:D183"/>
    <mergeCell ref="C184:D184"/>
    <mergeCell ref="C172:D172"/>
    <mergeCell ref="C181:D181"/>
    <mergeCell ref="C176:D176"/>
    <mergeCell ref="C171:D171"/>
    <mergeCell ref="C173:D173"/>
    <mergeCell ref="C174:D174"/>
    <mergeCell ref="C175:D175"/>
    <mergeCell ref="C177:D177"/>
    <mergeCell ref="C178:D178"/>
    <mergeCell ref="A154:B154"/>
    <mergeCell ref="C167:D167"/>
    <mergeCell ref="C168:D168"/>
    <mergeCell ref="C169:D169"/>
    <mergeCell ref="C170:D170"/>
  </mergeCells>
  <pageMargins left="0.7" right="0.7" top="0.75" bottom="0.75" header="0.3" footer="0.3"/>
  <pageSetup paperSize="9" fitToWidth="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6"/>
  <sheetViews>
    <sheetView topLeftCell="A4" zoomScale="85" zoomScaleNormal="85" workbookViewId="0">
      <selection activeCell="B4" sqref="B4"/>
    </sheetView>
  </sheetViews>
  <sheetFormatPr baseColWidth="10" defaultColWidth="8.6640625" defaultRowHeight="30" customHeight="1" x14ac:dyDescent="0.2"/>
  <cols>
    <col min="1" max="1" width="3.33203125" style="26" customWidth="1"/>
    <col min="2" max="2" width="30.6640625" style="26" customWidth="1"/>
    <col min="3" max="5" width="24.6640625" style="26" customWidth="1"/>
    <col min="6" max="16384" width="8.6640625" style="26"/>
  </cols>
  <sheetData>
    <row r="1" spans="1:5" ht="35.25" customHeight="1" thickBot="1" x14ac:dyDescent="0.25">
      <c r="B1" s="27" t="s">
        <v>164</v>
      </c>
      <c r="C1" s="27"/>
      <c r="D1" s="27"/>
      <c r="E1" s="27"/>
    </row>
    <row r="2" spans="1:5" ht="250" customHeight="1" thickTop="1" x14ac:dyDescent="0.2">
      <c r="B2" s="28" t="s">
        <v>165</v>
      </c>
      <c r="C2" s="28"/>
      <c r="D2" s="28"/>
      <c r="E2" s="28"/>
    </row>
    <row r="3" spans="1:5" ht="250" customHeight="1" x14ac:dyDescent="0.2">
      <c r="B3" s="29"/>
      <c r="C3" s="29"/>
      <c r="D3" s="29"/>
      <c r="E3" s="29"/>
    </row>
    <row r="4" spans="1:5" ht="36.75" customHeight="1" thickBot="1" x14ac:dyDescent="0.3">
      <c r="B4" s="30" t="s">
        <v>166</v>
      </c>
      <c r="C4" s="30"/>
      <c r="D4" s="30"/>
      <c r="E4" s="30"/>
    </row>
    <row r="5" spans="1:5" ht="30" customHeight="1" thickTop="1" x14ac:dyDescent="0.2">
      <c r="B5" s="26" t="s">
        <v>167</v>
      </c>
      <c r="C5" s="26" t="s">
        <v>181</v>
      </c>
      <c r="D5" s="26" t="s">
        <v>168</v>
      </c>
      <c r="E5" s="26" t="s">
        <v>169</v>
      </c>
    </row>
    <row r="6" spans="1:5" ht="30" customHeight="1" x14ac:dyDescent="0.2">
      <c r="A6" s="26">
        <v>1</v>
      </c>
      <c r="B6" s="26" t="s">
        <v>172</v>
      </c>
      <c r="C6" s="33">
        <f>'Aug 2026'!E167</f>
        <v>22795.489999999998</v>
      </c>
      <c r="D6" s="31">
        <f>IFERROR(Data[[#This Row],[Monthly Cost ]]/SUM(Data[[Monthly Cost ]]), "")</f>
        <v>0.17632639150594584</v>
      </c>
      <c r="E6" s="31">
        <f>IFERROR(SUM(INDEX(Data[Percent of Total],1):Data[[#This Row],[Percent of Total]]), "")</f>
        <v>0.17632639150594584</v>
      </c>
    </row>
    <row r="7" spans="1:5" ht="30" customHeight="1" x14ac:dyDescent="0.2">
      <c r="A7" s="26">
        <v>2</v>
      </c>
      <c r="B7" s="26" t="s">
        <v>173</v>
      </c>
      <c r="C7" s="33">
        <f>'Aug 2026'!E168</f>
        <v>7158</v>
      </c>
      <c r="D7" s="31">
        <f>IFERROR(Data[[#This Row],[Monthly Cost ]]/SUM(Data[[Monthly Cost ]]), "")</f>
        <v>5.5368158806832428E-2</v>
      </c>
      <c r="E7" s="31">
        <f>IFERROR(SUM(INDEX(Data[Percent of Total],1):Data[[#This Row],[Percent of Total]]), "")</f>
        <v>0.23169455031277827</v>
      </c>
    </row>
    <row r="8" spans="1:5" ht="30" customHeight="1" x14ac:dyDescent="0.2">
      <c r="A8" s="26">
        <v>3</v>
      </c>
      <c r="B8" s="26" t="s">
        <v>170</v>
      </c>
      <c r="C8" s="33">
        <f>'Aug 2026'!E169</f>
        <v>1297</v>
      </c>
      <c r="D8" s="31">
        <f>IFERROR(Data[[#This Row],[Monthly Cost ]]/SUM(Data[[Monthly Cost ]]), "")</f>
        <v>1.0032481415543679E-2</v>
      </c>
      <c r="E8" s="31">
        <f>IFERROR(SUM(INDEX(Data[Percent of Total],1):Data[[#This Row],[Percent of Total]]), "")</f>
        <v>0.24172703172832194</v>
      </c>
    </row>
    <row r="9" spans="1:5" ht="30" customHeight="1" x14ac:dyDescent="0.2">
      <c r="A9" s="26">
        <v>4</v>
      </c>
      <c r="B9" s="26" t="s">
        <v>174</v>
      </c>
      <c r="C9" s="33">
        <f>'Aug 2026'!E170</f>
        <v>1405</v>
      </c>
      <c r="D9" s="31">
        <f>IFERROR(Data[[#This Row],[Monthly Cost ]]/SUM(Data[[Monthly Cost ]]), "")</f>
        <v>1.0867876938194965E-2</v>
      </c>
      <c r="E9" s="31">
        <f>IFERROR(SUM(INDEX(Data[Percent of Total],1):Data[[#This Row],[Percent of Total]]), "")</f>
        <v>0.2525949086665169</v>
      </c>
    </row>
    <row r="10" spans="1:5" ht="30" customHeight="1" x14ac:dyDescent="0.2">
      <c r="A10" s="26">
        <v>5</v>
      </c>
      <c r="B10" s="26" t="s">
        <v>54</v>
      </c>
      <c r="C10" s="33">
        <f>'Aug 2026'!E171</f>
        <v>6872.5300000000007</v>
      </c>
      <c r="D10" s="31">
        <f>IFERROR(Data[[#This Row],[Monthly Cost ]]/SUM(Data[[Monthly Cost ]]), "")</f>
        <v>5.3160007326728147E-2</v>
      </c>
      <c r="E10" s="31">
        <f>IFERROR(SUM(INDEX(Data[Percent of Total],1):Data[[#This Row],[Percent of Total]]), "")</f>
        <v>0.30575491599324506</v>
      </c>
    </row>
    <row r="11" spans="1:5" ht="30" customHeight="1" x14ac:dyDescent="0.2">
      <c r="A11" s="26">
        <v>6</v>
      </c>
      <c r="B11" s="26" t="s">
        <v>65</v>
      </c>
      <c r="C11" s="33">
        <f>'Aug 2026'!E172</f>
        <v>1240</v>
      </c>
      <c r="D11" s="31">
        <f>IFERROR(Data[[#This Row],[Monthly Cost ]]/SUM(Data[[Monthly Cost ]]), "")</f>
        <v>9.5915782230332793E-3</v>
      </c>
      <c r="E11" s="31">
        <f>IFERROR(SUM(INDEX(Data[Percent of Total],1):Data[[#This Row],[Percent of Total]]), "")</f>
        <v>0.31534649421627836</v>
      </c>
    </row>
    <row r="12" spans="1:5" ht="30" customHeight="1" x14ac:dyDescent="0.2">
      <c r="A12" s="26">
        <v>7</v>
      </c>
      <c r="B12" s="26" t="s">
        <v>68</v>
      </c>
      <c r="C12" s="33">
        <f>'Aug 2026'!E173</f>
        <v>12200</v>
      </c>
      <c r="D12" s="31">
        <f>IFERROR(Data[[#This Row],[Monthly Cost ]]/SUM(Data[[Monthly Cost ]]), "")</f>
        <v>9.4368753484682252E-2</v>
      </c>
      <c r="E12" s="31">
        <f>IFERROR(SUM(INDEX(Data[Percent of Total],1):Data[[#This Row],[Percent of Total]]), "")</f>
        <v>0.40971524770096063</v>
      </c>
    </row>
    <row r="13" spans="1:5" ht="30" customHeight="1" x14ac:dyDescent="0.2">
      <c r="A13" s="26">
        <v>8</v>
      </c>
      <c r="B13" s="26" t="s">
        <v>73</v>
      </c>
      <c r="C13" s="33">
        <f>'Aug 2026'!E174</f>
        <v>68935</v>
      </c>
      <c r="D13" s="31">
        <f>IFERROR(Data[[#This Row],[Monthly Cost ]]/SUM(Data[[Monthly Cost ]]), "")</f>
        <v>0.53322213290709608</v>
      </c>
      <c r="E13" s="31">
        <f>IFERROR(SUM(INDEX(Data[Percent of Total],1):Data[[#This Row],[Percent of Total]]), "")</f>
        <v>0.94293738060805676</v>
      </c>
    </row>
    <row r="14" spans="1:5" ht="30" customHeight="1" x14ac:dyDescent="0.2">
      <c r="A14" s="26">
        <v>9</v>
      </c>
      <c r="B14" s="26" t="s">
        <v>175</v>
      </c>
      <c r="C14" s="33">
        <f>'Aug 2026'!E175</f>
        <v>0</v>
      </c>
      <c r="D14" s="31">
        <f>IFERROR(Data[[#This Row],[Monthly Cost ]]/SUM(Data[[Monthly Cost ]]), "")</f>
        <v>0</v>
      </c>
      <c r="E14" s="31">
        <f>IFERROR(SUM(INDEX(Data[Percent of Total],1):Data[[#This Row],[Percent of Total]]), "")</f>
        <v>0.94293738060805676</v>
      </c>
    </row>
    <row r="15" spans="1:5" ht="30" customHeight="1" x14ac:dyDescent="0.2">
      <c r="A15" s="26">
        <v>10</v>
      </c>
      <c r="B15" s="26" t="s">
        <v>88</v>
      </c>
      <c r="C15" s="33">
        <f>'Aug 2026'!E176</f>
        <v>1116.56</v>
      </c>
      <c r="D15" s="31">
        <f>IFERROR(Data[[#This Row],[Monthly Cost ]]/SUM(Data[[Monthly Cost ]]), "")</f>
        <v>8.6367520812177714E-3</v>
      </c>
      <c r="E15" s="31">
        <f>IFERROR(SUM(INDEX(Data[Percent of Total],1):Data[[#This Row],[Percent of Total]]), "")</f>
        <v>0.95157413268927449</v>
      </c>
    </row>
    <row r="16" spans="1:5" ht="30" customHeight="1" x14ac:dyDescent="0.2">
      <c r="A16" s="26">
        <v>11</v>
      </c>
      <c r="B16" s="26" t="s">
        <v>176</v>
      </c>
      <c r="C16" s="33">
        <f>'Aug 2026'!E177</f>
        <v>0</v>
      </c>
      <c r="D16" s="31">
        <f>IFERROR(Data[[#This Row],[Monthly Cost ]]/SUM(Data[[Monthly Cost ]]), "")</f>
        <v>0</v>
      </c>
      <c r="E16" s="31">
        <f>IFERROR(SUM(INDEX(Data[Percent of Total],1):Data[[#This Row],[Percent of Total]]), "")</f>
        <v>0.95157413268927449</v>
      </c>
    </row>
    <row r="17" spans="1:5" ht="30" customHeight="1" x14ac:dyDescent="0.2">
      <c r="A17" s="26">
        <v>12</v>
      </c>
      <c r="B17" s="26" t="s">
        <v>177</v>
      </c>
      <c r="C17" s="33">
        <f>'Aug 2026'!E178</f>
        <v>20</v>
      </c>
      <c r="D17" s="31">
        <f>IFERROR(Data[[#This Row],[Monthly Cost ]]/SUM(Data[[Monthly Cost ]]), "")</f>
        <v>1.5470287456505289E-4</v>
      </c>
      <c r="E17" s="31">
        <f>IFERROR(SUM(INDEX(Data[Percent of Total],1):Data[[#This Row],[Percent of Total]]), "")</f>
        <v>0.95172883556383958</v>
      </c>
    </row>
    <row r="18" spans="1:5" ht="30" customHeight="1" x14ac:dyDescent="0.2">
      <c r="A18" s="26">
        <v>13</v>
      </c>
      <c r="B18" s="26" t="s">
        <v>178</v>
      </c>
      <c r="C18" s="33">
        <f>'Aug 2026'!E179</f>
        <v>229</v>
      </c>
      <c r="D18" s="31">
        <f>IFERROR(Data[[#This Row],[Monthly Cost ]]/SUM(Data[[Monthly Cost ]]), "")</f>
        <v>1.7713479137698555E-3</v>
      </c>
      <c r="E18" s="31">
        <f>IFERROR(SUM(INDEX(Data[Percent of Total],1):Data[[#This Row],[Percent of Total]]), "")</f>
        <v>0.95350018347760945</v>
      </c>
    </row>
    <row r="19" spans="1:5" ht="30" customHeight="1" x14ac:dyDescent="0.2">
      <c r="A19" s="26">
        <v>14</v>
      </c>
      <c r="B19" s="26" t="s">
        <v>179</v>
      </c>
      <c r="C19" s="33">
        <f>'Aug 2026'!E180</f>
        <v>40</v>
      </c>
      <c r="D19" s="31">
        <f>IFERROR(Data[[#This Row],[Monthly Cost ]]/SUM(Data[[Monthly Cost ]]), "")</f>
        <v>3.0940574913010578E-4</v>
      </c>
      <c r="E19" s="31">
        <f>IFERROR(SUM(INDEX(Data[Percent of Total],1):Data[[#This Row],[Percent of Total]]), "")</f>
        <v>0.95380958922673953</v>
      </c>
    </row>
    <row r="20" spans="1:5" ht="30" customHeight="1" x14ac:dyDescent="0.2">
      <c r="A20" s="26">
        <v>15</v>
      </c>
      <c r="B20" s="26" t="s">
        <v>180</v>
      </c>
      <c r="C20" s="33">
        <f>'Aug 2026'!E181</f>
        <v>4970</v>
      </c>
      <c r="D20" s="31">
        <f>IFERROR(Data[[#This Row],[Monthly Cost ]]/SUM(Data[[Monthly Cost ]]), "")</f>
        <v>3.8443664329415643E-2</v>
      </c>
      <c r="E20" s="31">
        <f>IFERROR(SUM(INDEX(Data[Percent of Total],1):Data[[#This Row],[Percent of Total]]), "")</f>
        <v>0.99225325355615512</v>
      </c>
    </row>
    <row r="21" spans="1:5" ht="30" customHeight="1" x14ac:dyDescent="0.2">
      <c r="A21" s="26">
        <v>16</v>
      </c>
      <c r="B21" s="26" t="s">
        <v>137</v>
      </c>
      <c r="C21" s="33">
        <f>'Aug 2026'!E182</f>
        <v>0</v>
      </c>
      <c r="D21" s="31">
        <f>IFERROR(Data[[#This Row],[Monthly Cost ]]/SUM(Data[[Monthly Cost ]]), "")</f>
        <v>0</v>
      </c>
      <c r="E21" s="31">
        <f>IFERROR(SUM(INDEX(Data[Percent of Total],1):Data[[#This Row],[Percent of Total]]), "")</f>
        <v>0.99225325355615512</v>
      </c>
    </row>
    <row r="22" spans="1:5" ht="30" customHeight="1" x14ac:dyDescent="0.2">
      <c r="A22" s="26">
        <v>17</v>
      </c>
      <c r="B22" s="26" t="s">
        <v>138</v>
      </c>
      <c r="C22" s="33">
        <f>'Aug 2026'!E183</f>
        <v>0</v>
      </c>
      <c r="D22" s="31">
        <f>IFERROR(Data[[#This Row],[Monthly Cost ]]/SUM(Data[[Monthly Cost ]]), "")</f>
        <v>0</v>
      </c>
      <c r="E22" s="31">
        <f>IFERROR(SUM(INDEX(Data[Percent of Total],1):Data[[#This Row],[Percent of Total]]), "")</f>
        <v>0.99225325355615512</v>
      </c>
    </row>
    <row r="23" spans="1:5" ht="30" customHeight="1" x14ac:dyDescent="0.2">
      <c r="A23" s="26">
        <v>18</v>
      </c>
      <c r="B23" s="26" t="s">
        <v>146</v>
      </c>
      <c r="C23" s="33">
        <f>'Aug 2026'!E184</f>
        <v>987.5</v>
      </c>
      <c r="D23" s="31">
        <f>IFERROR(Data[[#This Row],[Monthly Cost ]]/SUM(Data[[Monthly Cost ]]), "")</f>
        <v>7.6384544316494864E-3</v>
      </c>
      <c r="E23" s="31">
        <f>IFERROR(SUM(INDEX(Data[Percent of Total],1):Data[[#This Row],[Percent of Total]]), "")</f>
        <v>0.99989170798780458</v>
      </c>
    </row>
    <row r="24" spans="1:5" ht="30" customHeight="1" x14ac:dyDescent="0.2">
      <c r="A24" s="26">
        <v>19</v>
      </c>
      <c r="B24" s="26" t="s">
        <v>151</v>
      </c>
      <c r="C24" s="33">
        <f>'Aug 2026'!E185</f>
        <v>14</v>
      </c>
      <c r="D24" s="31">
        <f>IFERROR(Data[[#This Row],[Monthly Cost ]]/SUM(Data[[Monthly Cost ]]), "")</f>
        <v>1.0829201219553702E-4</v>
      </c>
      <c r="E24" s="31">
        <f>IFERROR(SUM(INDEX(Data[Percent of Total],1):Data[[#This Row],[Percent of Total]]), "")</f>
        <v>1.0000000000000002</v>
      </c>
    </row>
    <row r="25" spans="1:5" ht="30" customHeight="1" x14ac:dyDescent="0.2">
      <c r="C25" s="33">
        <f>'Aug 2026'!E186</f>
        <v>0</v>
      </c>
      <c r="D25" s="31">
        <f>IFERROR(Data[[#This Row],[Monthly Cost ]]/SUM(Data[[Monthly Cost ]]), "")</f>
        <v>0</v>
      </c>
      <c r="E25" s="31">
        <f>IFERROR(SUM(INDEX(Data[Percent of Total],1):Data[[#This Row],[Percent of Total]]), "")</f>
        <v>1.0000000000000002</v>
      </c>
    </row>
    <row r="26" spans="1:5" ht="30" customHeight="1" x14ac:dyDescent="0.2">
      <c r="C26" s="33">
        <f>'Aug 2026'!E187</f>
        <v>0</v>
      </c>
      <c r="D26" s="31">
        <f>IFERROR(Data[[#This Row],[Monthly Cost ]]/SUM(Data[[Monthly Cost ]]), "")</f>
        <v>0</v>
      </c>
      <c r="E26" s="31">
        <f>IFERROR(SUM(INDEX(Data[Percent of Total],1):Data[[#This Row],[Percent of Total]]), "")</f>
        <v>1.0000000000000002</v>
      </c>
    </row>
    <row r="27" spans="1:5" ht="30" customHeight="1" x14ac:dyDescent="0.2">
      <c r="B27" s="26" t="s">
        <v>171</v>
      </c>
      <c r="C27" s="34">
        <f>SUBTOTAL(109,Data[[Monthly Cost ]])</f>
        <v>129280.07999999999</v>
      </c>
      <c r="D27" s="32">
        <f>SUBTOTAL(109,Data[Percent of Total])</f>
        <v>1.0000000000000002</v>
      </c>
      <c r="E27" s="32"/>
    </row>
    <row r="28" spans="1:5" ht="15" x14ac:dyDescent="0.2"/>
    <row r="29" spans="1:5" ht="15" x14ac:dyDescent="0.2"/>
    <row r="30" spans="1:5" ht="15" x14ac:dyDescent="0.2"/>
    <row r="31" spans="1:5" ht="15" x14ac:dyDescent="0.2"/>
    <row r="32" spans="1:5" ht="15" x14ac:dyDescent="0.2"/>
    <row r="33" ht="15" x14ac:dyDescent="0.2"/>
    <row r="34" ht="15" x14ac:dyDescent="0.2"/>
    <row r="35" ht="15" x14ac:dyDescent="0.2"/>
    <row r="36" ht="15" x14ac:dyDescent="0.2"/>
    <row r="37" ht="15" x14ac:dyDescent="0.2"/>
    <row r="38" ht="15" x14ac:dyDescent="0.2"/>
    <row r="39" ht="15" x14ac:dyDescent="0.2"/>
    <row r="40" ht="15" x14ac:dyDescent="0.2"/>
    <row r="41" ht="15" x14ac:dyDescent="0.2"/>
    <row r="42" ht="15" x14ac:dyDescent="0.2"/>
    <row r="43" ht="15" x14ac:dyDescent="0.2"/>
    <row r="44" ht="15" x14ac:dyDescent="0.2"/>
    <row r="45" ht="15" x14ac:dyDescent="0.2"/>
    <row r="46" ht="15" x14ac:dyDescent="0.2"/>
    <row r="47" ht="15" x14ac:dyDescent="0.2"/>
    <row r="48" ht="15" x14ac:dyDescent="0.2"/>
    <row r="49" ht="15" x14ac:dyDescent="0.2"/>
    <row r="50" ht="15" x14ac:dyDescent="0.2"/>
    <row r="51" ht="15" x14ac:dyDescent="0.2"/>
    <row r="52" ht="15" x14ac:dyDescent="0.2"/>
    <row r="53" ht="15" x14ac:dyDescent="0.2"/>
    <row r="54" ht="15" x14ac:dyDescent="0.2"/>
    <row r="55" ht="15" x14ac:dyDescent="0.2"/>
    <row r="56" ht="15" x14ac:dyDescent="0.2"/>
    <row r="57" ht="15" x14ac:dyDescent="0.2"/>
    <row r="58" ht="15" x14ac:dyDescent="0.2"/>
    <row r="59" ht="15" x14ac:dyDescent="0.2"/>
    <row r="60" ht="15" x14ac:dyDescent="0.2"/>
    <row r="61" ht="15" x14ac:dyDescent="0.2"/>
    <row r="62" ht="15" x14ac:dyDescent="0.2"/>
    <row r="63" ht="15" x14ac:dyDescent="0.2"/>
    <row r="64" ht="15" x14ac:dyDescent="0.2"/>
    <row r="65" ht="15" x14ac:dyDescent="0.2"/>
    <row r="66" ht="15" x14ac:dyDescent="0.2"/>
    <row r="67" ht="15" x14ac:dyDescent="0.2"/>
    <row r="68" ht="15" x14ac:dyDescent="0.2"/>
    <row r="69" ht="15" x14ac:dyDescent="0.2"/>
    <row r="70" ht="15" x14ac:dyDescent="0.2"/>
    <row r="71" ht="15" x14ac:dyDescent="0.2"/>
    <row r="72" ht="15" x14ac:dyDescent="0.2"/>
    <row r="73" ht="15" x14ac:dyDescent="0.2"/>
    <row r="74" ht="15" x14ac:dyDescent="0.2"/>
    <row r="75" ht="15" x14ac:dyDescent="0.2"/>
    <row r="76" ht="15" x14ac:dyDescent="0.2"/>
    <row r="77" ht="15" x14ac:dyDescent="0.2"/>
    <row r="78" ht="15" x14ac:dyDescent="0.2"/>
    <row r="79" ht="15" x14ac:dyDescent="0.2"/>
    <row r="80" ht="15" x14ac:dyDescent="0.2"/>
    <row r="81" ht="15" x14ac:dyDescent="0.2"/>
    <row r="82" ht="15" x14ac:dyDescent="0.2"/>
    <row r="83" ht="15" x14ac:dyDescent="0.2"/>
    <row r="84" ht="15" x14ac:dyDescent="0.2"/>
    <row r="85" ht="15" x14ac:dyDescent="0.2"/>
    <row r="86" ht="15" x14ac:dyDescent="0.2"/>
    <row r="87" ht="15" x14ac:dyDescent="0.2"/>
    <row r="88" ht="15" x14ac:dyDescent="0.2"/>
    <row r="89" ht="15" x14ac:dyDescent="0.2"/>
    <row r="90" ht="15" x14ac:dyDescent="0.2"/>
    <row r="91" ht="15" x14ac:dyDescent="0.2"/>
    <row r="92" ht="15" x14ac:dyDescent="0.2"/>
    <row r="93" ht="15" x14ac:dyDescent="0.2"/>
    <row r="94" ht="15" x14ac:dyDescent="0.2"/>
    <row r="95" ht="15" x14ac:dyDescent="0.2"/>
    <row r="96" ht="15" x14ac:dyDescent="0.2"/>
    <row r="97" ht="15" x14ac:dyDescent="0.2"/>
    <row r="98" ht="15" x14ac:dyDescent="0.2"/>
    <row r="99" ht="15" x14ac:dyDescent="0.2"/>
    <row r="100" ht="15" x14ac:dyDescent="0.2"/>
    <row r="101" ht="15" x14ac:dyDescent="0.2"/>
    <row r="102" ht="15" x14ac:dyDescent="0.2"/>
    <row r="103" ht="15" x14ac:dyDescent="0.2"/>
    <row r="104" ht="15" x14ac:dyDescent="0.2"/>
    <row r="105" ht="15" x14ac:dyDescent="0.2"/>
    <row r="106" ht="15" x14ac:dyDescent="0.2"/>
    <row r="107" ht="15" x14ac:dyDescent="0.2"/>
    <row r="108" ht="15" x14ac:dyDescent="0.2"/>
    <row r="109" ht="15" x14ac:dyDescent="0.2"/>
    <row r="110" ht="15" x14ac:dyDescent="0.2"/>
    <row r="111" ht="15" x14ac:dyDescent="0.2"/>
    <row r="112" ht="15" x14ac:dyDescent="0.2"/>
    <row r="113" ht="15" x14ac:dyDescent="0.2"/>
    <row r="114" ht="15" x14ac:dyDescent="0.2"/>
    <row r="115" ht="15" x14ac:dyDescent="0.2"/>
    <row r="116" ht="15" x14ac:dyDescent="0.2"/>
    <row r="117" ht="15" x14ac:dyDescent="0.2"/>
    <row r="118" ht="15" x14ac:dyDescent="0.2"/>
    <row r="119" ht="15" x14ac:dyDescent="0.2"/>
    <row r="120" ht="15" x14ac:dyDescent="0.2"/>
    <row r="121" ht="15" x14ac:dyDescent="0.2"/>
    <row r="122" ht="15" x14ac:dyDescent="0.2"/>
    <row r="123" ht="15" x14ac:dyDescent="0.2"/>
    <row r="124" ht="15" x14ac:dyDescent="0.2"/>
    <row r="125" ht="15" x14ac:dyDescent="0.2"/>
    <row r="126" ht="15" x14ac:dyDescent="0.2"/>
    <row r="127" ht="15" x14ac:dyDescent="0.2"/>
    <row r="128" ht="15" x14ac:dyDescent="0.2"/>
    <row r="129" ht="15" x14ac:dyDescent="0.2"/>
    <row r="130" ht="15" x14ac:dyDescent="0.2"/>
    <row r="131" ht="15" x14ac:dyDescent="0.2"/>
    <row r="132" ht="15" x14ac:dyDescent="0.2"/>
    <row r="133" ht="15" x14ac:dyDescent="0.2"/>
    <row r="134" ht="15" x14ac:dyDescent="0.2"/>
    <row r="135" ht="15" x14ac:dyDescent="0.2"/>
    <row r="136" ht="15" x14ac:dyDescent="0.2"/>
    <row r="137" ht="15" x14ac:dyDescent="0.2"/>
    <row r="138" ht="15" x14ac:dyDescent="0.2"/>
    <row r="139" ht="15" x14ac:dyDescent="0.2"/>
    <row r="140" ht="15" x14ac:dyDescent="0.2"/>
    <row r="141" ht="15" x14ac:dyDescent="0.2"/>
    <row r="142" ht="15" x14ac:dyDescent="0.2"/>
    <row r="143" ht="15" x14ac:dyDescent="0.2"/>
    <row r="144" ht="15" x14ac:dyDescent="0.2"/>
    <row r="145" ht="15" x14ac:dyDescent="0.2"/>
    <row r="146" ht="15" x14ac:dyDescent="0.2"/>
    <row r="147" ht="15" x14ac:dyDescent="0.2"/>
    <row r="148" ht="15" x14ac:dyDescent="0.2"/>
    <row r="149" ht="15" x14ac:dyDescent="0.2"/>
    <row r="150" ht="15" x14ac:dyDescent="0.2"/>
    <row r="151" ht="15" x14ac:dyDescent="0.2"/>
    <row r="152" ht="15" x14ac:dyDescent="0.2"/>
    <row r="153" ht="15" x14ac:dyDescent="0.2"/>
    <row r="154" ht="15" x14ac:dyDescent="0.2"/>
    <row r="155" ht="15" x14ac:dyDescent="0.2"/>
    <row r="156" ht="15" x14ac:dyDescent="0.2"/>
    <row r="157" ht="15" x14ac:dyDescent="0.2"/>
    <row r="158" ht="15" x14ac:dyDescent="0.2"/>
    <row r="159" ht="15" x14ac:dyDescent="0.2"/>
    <row r="160" ht="15" x14ac:dyDescent="0.2"/>
    <row r="161" ht="15" x14ac:dyDescent="0.2"/>
    <row r="162" ht="15" x14ac:dyDescent="0.2"/>
    <row r="163" ht="15" x14ac:dyDescent="0.2"/>
    <row r="164" ht="15" x14ac:dyDescent="0.2"/>
    <row r="165" ht="15" x14ac:dyDescent="0.2"/>
    <row r="166" ht="15" x14ac:dyDescent="0.2"/>
  </sheetData>
  <dataValidations count="7">
    <dataValidation allowBlank="1" showInputMessage="1" showErrorMessage="1" prompt="Cumulative Percent is automatically calculated in this column under this heading" sqref="E5" xr:uid="{00000000-0002-0000-0400-000000000000}"/>
    <dataValidation allowBlank="1" showInputMessage="1" showErrorMessage="1" prompt="Percent of Total is automatically calculated in this column under this heading" sqref="D5" xr:uid="{00000000-0002-0000-0400-000001000000}"/>
    <dataValidation allowBlank="1" showInputMessage="1" showErrorMessage="1" prompt="Enter Annual Cost in this column under this heading" sqref="C5" xr:uid="{00000000-0002-0000-0400-000002000000}"/>
    <dataValidation allowBlank="1" showInputMessage="1" showErrorMessage="1" prompt="Enter Cost Center in this column under this heading. Use heading filters to find specific entries" sqref="B5" xr:uid="{00000000-0002-0000-0400-000003000000}"/>
    <dataValidation allowBlank="1" showInputMessage="1" showErrorMessage="1" prompt="Enter Cost details in Data table below" sqref="B4" xr:uid="{00000000-0002-0000-0400-000004000000}"/>
    <dataValidation allowBlank="1" showInputMessage="1" showErrorMessage="1" prompt="Title of this worksheet is in this cell. Pareto chart is below" sqref="B1" xr:uid="{00000000-0002-0000-0400-000005000000}"/>
    <dataValidation allowBlank="1" showInputMessage="1" showErrorMessage="1" prompt="Create a Cost Analysis with Pareto Chart in this worksheet. Enter details in table starting in cell B6. Cost Center pareto chart is in cells B2 through E3" sqref="A1" xr:uid="{00000000-0002-0000-0400-000006000000}"/>
  </dataValidations>
  <pageMargins left="0.7" right="0.7" top="0.75" bottom="0.75" header="0.3" footer="0.3"/>
  <pageSetup orientation="portrait" horizontalDpi="4294967293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July 2026</vt:lpstr>
      <vt:lpstr>Aug 2026</vt:lpstr>
      <vt:lpstr>Aug Cost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Michel N. Mokbel</cp:lastModifiedBy>
  <cp:lastPrinted>2026-08-16T06:22:25Z</cp:lastPrinted>
  <dcterms:created xsi:type="dcterms:W3CDTF">2015-06-05T18:17:20Z</dcterms:created>
  <dcterms:modified xsi:type="dcterms:W3CDTF">2026-08-24T05:35:23Z</dcterms:modified>
</cp:coreProperties>
</file>